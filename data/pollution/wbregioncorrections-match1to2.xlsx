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research/iamup2/MimiPAGE2025.jl/data/pollution/"/>
    </mc:Choice>
  </mc:AlternateContent>
  <xr:revisionPtr revIDLastSave="0" documentId="8_{169996B1-7764-9244-B70C-772C9C449FC6}" xr6:coauthVersionLast="47" xr6:coauthVersionMax="47" xr10:uidLastSave="{00000000-0000-0000-0000-000000000000}"/>
  <bookViews>
    <workbookView xWindow="780" yWindow="1100" windowWidth="26460" windowHeight="16160" activeTab="1" xr2:uid="{093E698F-6ED0-6043-9267-66883A003A1B}"/>
  </bookViews>
  <sheets>
    <sheet name="wbregioncorrections-match2" sheetId="1" r:id="rId1"/>
    <sheet name="Merge" sheetId="2" r:id="rId2"/>
  </sheets>
  <calcPr calcId="0"/>
</workbook>
</file>

<file path=xl/calcChain.xml><?xml version="1.0" encoding="utf-8"?>
<calcChain xmlns="http://schemas.openxmlformats.org/spreadsheetml/2006/main">
  <c r="Q49" i="2" l="1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<sst xmlns="http://schemas.openxmlformats.org/spreadsheetml/2006/main" count="827" uniqueCount="53">
  <si>
    <t>SCEN_LABEL_H</t>
  </si>
  <si>
    <t>SCEN_LABEL_L</t>
  </si>
  <si>
    <t>IDYEARS</t>
  </si>
  <si>
    <t>REGIONGROUP</t>
  </si>
  <si>
    <t>LABEL_REGIONGROUP</t>
  </si>
  <si>
    <t>DELTA_COST_HEALTHCARE_MUSD2017_PPP_MORB</t>
  </si>
  <si>
    <t>DELTA_COST_HEALTHCARE_MUSD2017_PPP_MORT</t>
  </si>
  <si>
    <t>DELTA_COST_PRODUCTIVITY_MUSD2017_PPP_MORB</t>
  </si>
  <si>
    <t>DELTA_COST_PRODUCTIVITY_MUSD2017_PPP_MORT</t>
  </si>
  <si>
    <t>DELTA_COST_DISUTILITY_MUSD2017_PPP_MORB</t>
  </si>
  <si>
    <t>DELTA_COST_DISUTILITY_MUSD2017_PPP_MORT</t>
  </si>
  <si>
    <t>Baseline</t>
  </si>
  <si>
    <t>Integrated Action</t>
  </si>
  <si>
    <t>CAS</t>
  </si>
  <si>
    <t>Central Asia</t>
  </si>
  <si>
    <t>CHI</t>
  </si>
  <si>
    <t>Centrally Planned Asia</t>
  </si>
  <si>
    <t>EAS</t>
  </si>
  <si>
    <t>South East Asia</t>
  </si>
  <si>
    <t>EUR</t>
  </si>
  <si>
    <t>EU, EFTA, UK</t>
  </si>
  <si>
    <t>LAC</t>
  </si>
  <si>
    <t>Latin America &amp; Caribbean</t>
  </si>
  <si>
    <t>MEA</t>
  </si>
  <si>
    <t>Middle East</t>
  </si>
  <si>
    <t>NAF</t>
  </si>
  <si>
    <t>North Africa</t>
  </si>
  <si>
    <t>NAM</t>
  </si>
  <si>
    <t>North America</t>
  </si>
  <si>
    <t>OCE</t>
  </si>
  <si>
    <t>Oceania</t>
  </si>
  <si>
    <t>RUS</t>
  </si>
  <si>
    <t>Russian Federation</t>
  </si>
  <si>
    <t>SAF</t>
  </si>
  <si>
    <t>Southern Africa</t>
  </si>
  <si>
    <t>SAS</t>
  </si>
  <si>
    <t>South Asia</t>
  </si>
  <si>
    <t>SSA</t>
  </si>
  <si>
    <t>Sub-Saharan Africa</t>
  </si>
  <si>
    <t>WAS</t>
  </si>
  <si>
    <t>Western Asia</t>
  </si>
  <si>
    <t>WBK</t>
  </si>
  <si>
    <t>West Balkan</t>
  </si>
  <si>
    <t>NA</t>
  </si>
  <si>
    <t>Global</t>
  </si>
  <si>
    <t>GLOB</t>
  </si>
  <si>
    <t>BENEFITS_AAP_MORB_HC_GUSD2017_PPP</t>
  </si>
  <si>
    <t>BENEFITS_AAP_MORB_PROD_GUSD2017_PPP</t>
  </si>
  <si>
    <t>BENEFITS_AAP_MORB_DISUT_GUSD2017_PPP</t>
  </si>
  <si>
    <t>BENEFITS_AAP_MORT_PROD_GUSD2017_PPP</t>
  </si>
  <si>
    <t>BENEFITS_AAP_MORT_DISUT_GUSD2017_PPP</t>
  </si>
  <si>
    <t>BENEFITS_HAP_MORT_PROD_GUSD2017_PPP</t>
  </si>
  <si>
    <t>BENEFITS_HAP_MORT_DISUT_GUSD2017_PPP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</si>
</sst>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Dialog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right"/>
    </xf>
    <xf numFmtId="0" fontId="0" fillId="33" borderId="10" xfId="0" applyFill="1" applyBorder="1"/>
    <xf numFmtId="0" fontId="18" fillId="33" borderId="10" xfId="0" applyFont="1" applyFill="1" applyBorder="1" applyAlignment="1">
      <alignment horizontal="right"/>
    </xf>
    <xf numFmtId="0" fontId="0" fillId="33" borderId="0" xfId="0" applyFill="1"/>
    <xf numFmtId="0" fontId="18" fillId="33" borderId="0" xfId="0" applyFont="1" applyFill="1" applyAlignment="1">
      <alignment horizontal="right"/>
    </xf>
    <xf numFmtId="0" fontId="0" fillId="34" borderId="0" xfId="0" applyFill="1"/>
    <xf numFmtId="0" fontId="18" fillId="34" borderId="0" xfId="0" applyFont="1" applyFill="1" applyAlignment="1">
      <alignment horizontal="right"/>
    </xf>
    <xf numFmtId="0" fontId="0" fillId="35" borderId="0" xfId="0" applyFill="1"/>
    <xf numFmtId="0" fontId="18" fillId="35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4872-3AD4-E74B-8ACB-A596AEC68B73}">
  <dimension ref="A1:K177"/>
  <sheetViews>
    <sheetView topLeftCell="A151" workbookViewId="0">
      <selection activeCell="J171" sqref="J171"/>
    </sheetView>
  </sheetViews>
  <sheetFormatPr baseColWidth="10" defaultRowHeight="1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2030</v>
      </c>
      <c r="D2" t="s">
        <v>13</v>
      </c>
      <c r="E2" t="s">
        <v>14</v>
      </c>
      <c r="F2">
        <v>116.2</v>
      </c>
      <c r="G2">
        <v>0</v>
      </c>
      <c r="H2">
        <v>162.19999999999999</v>
      </c>
      <c r="I2">
        <v>488</v>
      </c>
      <c r="J2">
        <v>369.2</v>
      </c>
      <c r="K2">
        <v>3545.5</v>
      </c>
    </row>
    <row r="3" spans="1:11">
      <c r="A3" t="s">
        <v>11</v>
      </c>
      <c r="B3" t="s">
        <v>12</v>
      </c>
      <c r="C3">
        <v>2030</v>
      </c>
      <c r="D3" t="s">
        <v>15</v>
      </c>
      <c r="E3" t="s">
        <v>16</v>
      </c>
      <c r="F3">
        <v>22608.5</v>
      </c>
      <c r="G3">
        <v>0</v>
      </c>
      <c r="H3">
        <v>31001.8</v>
      </c>
      <c r="I3">
        <v>354.9</v>
      </c>
      <c r="J3">
        <v>63148.4</v>
      </c>
      <c r="K3">
        <v>335476.40000000002</v>
      </c>
    </row>
    <row r="4" spans="1:11">
      <c r="A4" t="s">
        <v>11</v>
      </c>
      <c r="B4" t="s">
        <v>12</v>
      </c>
      <c r="C4">
        <v>2030</v>
      </c>
      <c r="D4" t="s">
        <v>17</v>
      </c>
      <c r="E4" t="s">
        <v>18</v>
      </c>
      <c r="F4">
        <v>4161</v>
      </c>
      <c r="G4">
        <v>0</v>
      </c>
      <c r="H4">
        <v>7794.1</v>
      </c>
      <c r="I4">
        <v>10229.200000000001</v>
      </c>
      <c r="J4">
        <v>15882.1</v>
      </c>
      <c r="K4">
        <v>126940.3</v>
      </c>
    </row>
    <row r="5" spans="1:11">
      <c r="A5" t="s">
        <v>11</v>
      </c>
      <c r="B5" t="s">
        <v>12</v>
      </c>
      <c r="C5">
        <v>2030</v>
      </c>
      <c r="D5" t="s">
        <v>19</v>
      </c>
      <c r="E5" t="s">
        <v>20</v>
      </c>
      <c r="F5">
        <v>15932.4</v>
      </c>
      <c r="G5">
        <v>0</v>
      </c>
      <c r="H5">
        <v>12286.3</v>
      </c>
      <c r="I5">
        <v>4415.2</v>
      </c>
      <c r="J5">
        <v>23047.9</v>
      </c>
      <c r="K5">
        <v>100814.9</v>
      </c>
    </row>
    <row r="6" spans="1:11">
      <c r="A6" t="s">
        <v>11</v>
      </c>
      <c r="B6" t="s">
        <v>12</v>
      </c>
      <c r="C6">
        <v>2030</v>
      </c>
      <c r="D6" t="s">
        <v>21</v>
      </c>
      <c r="E6" t="s">
        <v>22</v>
      </c>
      <c r="F6">
        <v>5990.2</v>
      </c>
      <c r="G6">
        <v>0</v>
      </c>
      <c r="H6">
        <v>6697.7</v>
      </c>
      <c r="I6">
        <v>8718.7000000000007</v>
      </c>
      <c r="J6">
        <v>10585.4</v>
      </c>
      <c r="K6">
        <v>96236.1</v>
      </c>
    </row>
    <row r="7" spans="1:11">
      <c r="A7" t="s">
        <v>11</v>
      </c>
      <c r="B7" t="s">
        <v>12</v>
      </c>
      <c r="C7">
        <v>2030</v>
      </c>
      <c r="D7" t="s">
        <v>23</v>
      </c>
      <c r="E7" t="s">
        <v>24</v>
      </c>
      <c r="F7">
        <v>1918.6</v>
      </c>
      <c r="G7">
        <v>0</v>
      </c>
      <c r="H7">
        <v>2509.9</v>
      </c>
      <c r="I7">
        <v>727.1</v>
      </c>
      <c r="J7">
        <v>5917.2</v>
      </c>
      <c r="K7">
        <v>20076.900000000001</v>
      </c>
    </row>
    <row r="8" spans="1:11">
      <c r="A8" t="s">
        <v>11</v>
      </c>
      <c r="B8" t="s">
        <v>12</v>
      </c>
      <c r="C8">
        <v>2030</v>
      </c>
      <c r="D8" t="s">
        <v>25</v>
      </c>
      <c r="E8" t="s">
        <v>26</v>
      </c>
      <c r="F8">
        <v>1286.5999999999999</v>
      </c>
      <c r="G8">
        <v>0</v>
      </c>
      <c r="H8">
        <v>1965.7</v>
      </c>
      <c r="I8">
        <v>1264</v>
      </c>
      <c r="J8">
        <v>4219.1000000000004</v>
      </c>
      <c r="K8">
        <v>20564.5</v>
      </c>
    </row>
    <row r="9" spans="1:11">
      <c r="A9" t="s">
        <v>11</v>
      </c>
      <c r="B9" t="s">
        <v>12</v>
      </c>
      <c r="C9">
        <v>2030</v>
      </c>
      <c r="D9" t="s">
        <v>27</v>
      </c>
      <c r="E9" t="s">
        <v>28</v>
      </c>
      <c r="F9">
        <v>21507.5</v>
      </c>
      <c r="G9">
        <v>0</v>
      </c>
      <c r="H9">
        <v>11894.5</v>
      </c>
      <c r="I9">
        <v>3998.8</v>
      </c>
      <c r="J9">
        <v>18843.3</v>
      </c>
      <c r="K9">
        <v>65816</v>
      </c>
    </row>
    <row r="10" spans="1:11">
      <c r="A10" t="s">
        <v>11</v>
      </c>
      <c r="B10" t="s">
        <v>12</v>
      </c>
      <c r="C10">
        <v>2030</v>
      </c>
      <c r="D10" t="s">
        <v>29</v>
      </c>
      <c r="E10" t="s">
        <v>30</v>
      </c>
      <c r="F10">
        <v>10028.9</v>
      </c>
      <c r="G10">
        <v>0</v>
      </c>
      <c r="H10">
        <v>8423.1</v>
      </c>
      <c r="I10">
        <v>1687.7</v>
      </c>
      <c r="J10">
        <v>16508.400000000001</v>
      </c>
      <c r="K10">
        <v>67761.3</v>
      </c>
    </row>
    <row r="11" spans="1:11">
      <c r="A11" t="s">
        <v>11</v>
      </c>
      <c r="B11" t="s">
        <v>12</v>
      </c>
      <c r="C11">
        <v>2030</v>
      </c>
      <c r="D11" t="s">
        <v>31</v>
      </c>
      <c r="E11" t="s">
        <v>32</v>
      </c>
      <c r="F11">
        <v>1703.1</v>
      </c>
      <c r="G11">
        <v>0</v>
      </c>
      <c r="H11">
        <v>1628.9</v>
      </c>
      <c r="I11">
        <v>1474.6</v>
      </c>
      <c r="J11">
        <v>4055.5</v>
      </c>
      <c r="K11">
        <v>22520.5</v>
      </c>
    </row>
    <row r="12" spans="1:11">
      <c r="A12" t="s">
        <v>11</v>
      </c>
      <c r="B12" t="s">
        <v>12</v>
      </c>
      <c r="C12">
        <v>2030</v>
      </c>
      <c r="D12" t="s">
        <v>33</v>
      </c>
      <c r="E12" t="s">
        <v>34</v>
      </c>
      <c r="F12">
        <v>738</v>
      </c>
      <c r="G12">
        <v>0</v>
      </c>
      <c r="H12">
        <v>924.6</v>
      </c>
      <c r="I12">
        <v>9123.4</v>
      </c>
      <c r="J12">
        <v>1493.7</v>
      </c>
      <c r="K12">
        <v>45371.3</v>
      </c>
    </row>
    <row r="13" spans="1:11">
      <c r="A13" t="s">
        <v>11</v>
      </c>
      <c r="B13" t="s">
        <v>12</v>
      </c>
      <c r="C13">
        <v>2030</v>
      </c>
      <c r="D13" t="s">
        <v>35</v>
      </c>
      <c r="E13" t="s">
        <v>36</v>
      </c>
      <c r="F13">
        <v>5994.5</v>
      </c>
      <c r="G13">
        <v>0</v>
      </c>
      <c r="H13">
        <v>12098.3</v>
      </c>
      <c r="I13">
        <v>133323.5</v>
      </c>
      <c r="J13">
        <v>24117.7</v>
      </c>
      <c r="K13">
        <v>505060.9</v>
      </c>
    </row>
    <row r="14" spans="1:11">
      <c r="A14" t="s">
        <v>11</v>
      </c>
      <c r="B14" t="s">
        <v>12</v>
      </c>
      <c r="C14">
        <v>2030</v>
      </c>
      <c r="D14" t="s">
        <v>37</v>
      </c>
      <c r="E14" t="s">
        <v>38</v>
      </c>
      <c r="F14">
        <v>363.3</v>
      </c>
      <c r="G14">
        <v>0</v>
      </c>
      <c r="H14">
        <v>1313.6</v>
      </c>
      <c r="I14">
        <v>82746.7</v>
      </c>
      <c r="J14">
        <v>1369.4</v>
      </c>
      <c r="K14">
        <v>167307.79999999999</v>
      </c>
    </row>
    <row r="15" spans="1:11">
      <c r="A15" t="s">
        <v>11</v>
      </c>
      <c r="B15" t="s">
        <v>12</v>
      </c>
      <c r="C15">
        <v>2030</v>
      </c>
      <c r="D15" t="s">
        <v>39</v>
      </c>
      <c r="E15" t="s">
        <v>40</v>
      </c>
      <c r="F15">
        <v>4304.6000000000004</v>
      </c>
      <c r="G15">
        <v>0</v>
      </c>
      <c r="H15">
        <v>7258.7</v>
      </c>
      <c r="I15">
        <v>788.7</v>
      </c>
      <c r="J15">
        <v>14535.4</v>
      </c>
      <c r="K15">
        <v>49194.1</v>
      </c>
    </row>
    <row r="16" spans="1:11">
      <c r="A16" t="s">
        <v>11</v>
      </c>
      <c r="B16" t="s">
        <v>12</v>
      </c>
      <c r="C16">
        <v>2030</v>
      </c>
      <c r="D16" t="s">
        <v>41</v>
      </c>
      <c r="E16" t="s">
        <v>42</v>
      </c>
      <c r="F16">
        <v>720.7</v>
      </c>
      <c r="G16">
        <v>0</v>
      </c>
      <c r="H16">
        <v>524.79999999999995</v>
      </c>
      <c r="I16">
        <v>264.7</v>
      </c>
      <c r="J16">
        <v>1111</v>
      </c>
      <c r="K16">
        <v>4898.7</v>
      </c>
    </row>
    <row r="17" spans="1:11">
      <c r="A17" t="s">
        <v>11</v>
      </c>
      <c r="B17" t="s">
        <v>12</v>
      </c>
      <c r="C17">
        <v>2030</v>
      </c>
      <c r="D17" t="s">
        <v>43</v>
      </c>
      <c r="E17" t="s">
        <v>44</v>
      </c>
      <c r="F17">
        <v>97374.1</v>
      </c>
      <c r="G17">
        <v>0</v>
      </c>
      <c r="H17">
        <v>106484.2</v>
      </c>
      <c r="I17">
        <v>259605.2</v>
      </c>
      <c r="J17">
        <v>205203.7</v>
      </c>
      <c r="K17">
        <v>1631585.2</v>
      </c>
    </row>
    <row r="18" spans="1:11">
      <c r="A18" t="s">
        <v>11</v>
      </c>
      <c r="B18" t="s">
        <v>12</v>
      </c>
      <c r="C18">
        <v>2035</v>
      </c>
      <c r="D18" t="s">
        <v>13</v>
      </c>
      <c r="E18" t="s">
        <v>14</v>
      </c>
      <c r="F18">
        <v>567</v>
      </c>
      <c r="G18">
        <v>0</v>
      </c>
      <c r="H18">
        <v>949</v>
      </c>
      <c r="I18">
        <v>916</v>
      </c>
      <c r="J18">
        <v>1890</v>
      </c>
      <c r="K18">
        <v>9008.9999999999982</v>
      </c>
    </row>
    <row r="19" spans="1:11">
      <c r="A19" t="s">
        <v>11</v>
      </c>
      <c r="B19" t="s">
        <v>12</v>
      </c>
      <c r="C19">
        <v>2035</v>
      </c>
      <c r="D19" t="s">
        <v>15</v>
      </c>
      <c r="E19" t="s">
        <v>16</v>
      </c>
      <c r="F19">
        <v>86767</v>
      </c>
      <c r="G19">
        <v>0</v>
      </c>
      <c r="H19">
        <v>119771</v>
      </c>
      <c r="I19">
        <v>470</v>
      </c>
      <c r="J19">
        <v>239684</v>
      </c>
      <c r="K19">
        <v>1091889.0000000002</v>
      </c>
    </row>
    <row r="20" spans="1:11">
      <c r="A20" t="s">
        <v>11</v>
      </c>
      <c r="B20" t="s">
        <v>12</v>
      </c>
      <c r="C20">
        <v>2035</v>
      </c>
      <c r="D20" t="s">
        <v>17</v>
      </c>
      <c r="E20" t="s">
        <v>18</v>
      </c>
      <c r="F20">
        <v>14088</v>
      </c>
      <c r="G20">
        <v>0</v>
      </c>
      <c r="H20">
        <v>27461</v>
      </c>
      <c r="I20">
        <v>13766</v>
      </c>
      <c r="J20">
        <v>53922</v>
      </c>
      <c r="K20">
        <v>299649</v>
      </c>
    </row>
    <row r="21" spans="1:11">
      <c r="A21" t="s">
        <v>11</v>
      </c>
      <c r="B21" t="s">
        <v>12</v>
      </c>
      <c r="C21">
        <v>2035</v>
      </c>
      <c r="D21" t="s">
        <v>19</v>
      </c>
      <c r="E21" t="s">
        <v>20</v>
      </c>
      <c r="F21">
        <v>25715</v>
      </c>
      <c r="G21">
        <v>0</v>
      </c>
      <c r="H21">
        <v>19960</v>
      </c>
      <c r="I21">
        <v>4341</v>
      </c>
      <c r="J21">
        <v>37778</v>
      </c>
      <c r="K21">
        <v>149240</v>
      </c>
    </row>
    <row r="22" spans="1:11">
      <c r="A22" t="s">
        <v>11</v>
      </c>
      <c r="B22" t="s">
        <v>12</v>
      </c>
      <c r="C22">
        <v>2035</v>
      </c>
      <c r="D22" t="s">
        <v>21</v>
      </c>
      <c r="E22" t="s">
        <v>22</v>
      </c>
      <c r="F22">
        <v>17175</v>
      </c>
      <c r="G22">
        <v>0</v>
      </c>
      <c r="H22">
        <v>19394</v>
      </c>
      <c r="I22">
        <v>9234</v>
      </c>
      <c r="J22">
        <v>30517</v>
      </c>
      <c r="K22">
        <v>161050</v>
      </c>
    </row>
    <row r="23" spans="1:11">
      <c r="A23" t="s">
        <v>11</v>
      </c>
      <c r="B23" t="s">
        <v>12</v>
      </c>
      <c r="C23">
        <v>2035</v>
      </c>
      <c r="D23" t="s">
        <v>23</v>
      </c>
      <c r="E23" t="s">
        <v>24</v>
      </c>
      <c r="F23">
        <v>6776</v>
      </c>
      <c r="G23">
        <v>0</v>
      </c>
      <c r="H23">
        <v>8958</v>
      </c>
      <c r="I23">
        <v>1504</v>
      </c>
      <c r="J23">
        <v>21024</v>
      </c>
      <c r="K23">
        <v>67703</v>
      </c>
    </row>
    <row r="24" spans="1:11">
      <c r="A24" t="s">
        <v>11</v>
      </c>
      <c r="B24" t="s">
        <v>12</v>
      </c>
      <c r="C24">
        <v>2035</v>
      </c>
      <c r="D24" t="s">
        <v>25</v>
      </c>
      <c r="E24" t="s">
        <v>26</v>
      </c>
      <c r="F24">
        <v>4458</v>
      </c>
      <c r="G24">
        <v>0</v>
      </c>
      <c r="H24">
        <v>6881</v>
      </c>
      <c r="I24">
        <v>2632</v>
      </c>
      <c r="J24">
        <v>14681</v>
      </c>
      <c r="K24">
        <v>58833</v>
      </c>
    </row>
    <row r="25" spans="1:11">
      <c r="A25" t="s">
        <v>11</v>
      </c>
      <c r="B25" t="s">
        <v>12</v>
      </c>
      <c r="C25">
        <v>2035</v>
      </c>
      <c r="D25" t="s">
        <v>27</v>
      </c>
      <c r="E25" t="s">
        <v>28</v>
      </c>
      <c r="F25">
        <v>53662</v>
      </c>
      <c r="G25">
        <v>0</v>
      </c>
      <c r="H25">
        <v>30572</v>
      </c>
      <c r="I25">
        <v>6127</v>
      </c>
      <c r="J25">
        <v>47654</v>
      </c>
      <c r="K25">
        <v>154673</v>
      </c>
    </row>
    <row r="26" spans="1:11">
      <c r="A26" t="s">
        <v>11</v>
      </c>
      <c r="B26" t="s">
        <v>12</v>
      </c>
      <c r="C26">
        <v>2035</v>
      </c>
      <c r="D26" t="s">
        <v>29</v>
      </c>
      <c r="E26" t="s">
        <v>30</v>
      </c>
      <c r="F26">
        <v>23735</v>
      </c>
      <c r="G26">
        <v>0</v>
      </c>
      <c r="H26">
        <v>20625</v>
      </c>
      <c r="I26">
        <v>2512</v>
      </c>
      <c r="J26">
        <v>40248</v>
      </c>
      <c r="K26">
        <v>153721.99999999997</v>
      </c>
    </row>
    <row r="27" spans="1:11">
      <c r="A27" t="s">
        <v>11</v>
      </c>
      <c r="B27" t="s">
        <v>12</v>
      </c>
      <c r="C27">
        <v>2035</v>
      </c>
      <c r="D27" t="s">
        <v>31</v>
      </c>
      <c r="E27" t="s">
        <v>32</v>
      </c>
      <c r="F27">
        <v>4596</v>
      </c>
      <c r="G27">
        <v>0</v>
      </c>
      <c r="H27">
        <v>4578</v>
      </c>
      <c r="I27">
        <v>2463</v>
      </c>
      <c r="J27">
        <v>11057</v>
      </c>
      <c r="K27">
        <v>54327</v>
      </c>
    </row>
    <row r="28" spans="1:11">
      <c r="A28" t="s">
        <v>11</v>
      </c>
      <c r="B28" t="s">
        <v>12</v>
      </c>
      <c r="C28">
        <v>2035</v>
      </c>
      <c r="D28" t="s">
        <v>33</v>
      </c>
      <c r="E28" t="s">
        <v>34</v>
      </c>
      <c r="F28">
        <v>2055</v>
      </c>
      <c r="G28">
        <v>0</v>
      </c>
      <c r="H28">
        <v>3071</v>
      </c>
      <c r="I28">
        <v>9600</v>
      </c>
      <c r="J28">
        <v>4348</v>
      </c>
      <c r="K28">
        <v>66963</v>
      </c>
    </row>
    <row r="29" spans="1:11">
      <c r="A29" t="s">
        <v>11</v>
      </c>
      <c r="B29" t="s">
        <v>12</v>
      </c>
      <c r="C29">
        <v>2035</v>
      </c>
      <c r="D29" t="s">
        <v>35</v>
      </c>
      <c r="E29" t="s">
        <v>36</v>
      </c>
      <c r="F29">
        <v>23617</v>
      </c>
      <c r="G29">
        <v>0</v>
      </c>
      <c r="H29">
        <v>54620</v>
      </c>
      <c r="I29">
        <v>186087</v>
      </c>
      <c r="J29">
        <v>95853</v>
      </c>
      <c r="K29">
        <v>1011853.9999999999</v>
      </c>
    </row>
    <row r="30" spans="1:11">
      <c r="A30" t="s">
        <v>11</v>
      </c>
      <c r="B30" t="s">
        <v>12</v>
      </c>
      <c r="C30">
        <v>2035</v>
      </c>
      <c r="D30" t="s">
        <v>37</v>
      </c>
      <c r="E30" t="s">
        <v>38</v>
      </c>
      <c r="F30">
        <v>1719</v>
      </c>
      <c r="G30">
        <v>0</v>
      </c>
      <c r="H30">
        <v>7449</v>
      </c>
      <c r="I30">
        <v>83270</v>
      </c>
      <c r="J30">
        <v>6644</v>
      </c>
      <c r="K30">
        <v>227334</v>
      </c>
    </row>
    <row r="31" spans="1:11">
      <c r="A31" t="s">
        <v>11</v>
      </c>
      <c r="B31" t="s">
        <v>12</v>
      </c>
      <c r="C31">
        <v>2035</v>
      </c>
      <c r="D31" t="s">
        <v>39</v>
      </c>
      <c r="E31" t="s">
        <v>40</v>
      </c>
      <c r="F31">
        <v>5662</v>
      </c>
      <c r="G31">
        <v>0</v>
      </c>
      <c r="H31">
        <v>8750</v>
      </c>
      <c r="I31">
        <v>1436.9999999999998</v>
      </c>
      <c r="J31">
        <v>16704</v>
      </c>
      <c r="K31">
        <v>59672</v>
      </c>
    </row>
    <row r="32" spans="1:11">
      <c r="A32" t="s">
        <v>11</v>
      </c>
      <c r="B32" t="s">
        <v>12</v>
      </c>
      <c r="C32">
        <v>2035</v>
      </c>
      <c r="D32" t="s">
        <v>41</v>
      </c>
      <c r="E32" t="s">
        <v>42</v>
      </c>
      <c r="F32">
        <v>1090</v>
      </c>
      <c r="G32">
        <v>0</v>
      </c>
      <c r="H32">
        <v>835</v>
      </c>
      <c r="I32">
        <v>240</v>
      </c>
      <c r="J32">
        <v>1701</v>
      </c>
      <c r="K32">
        <v>6686.0000000000009</v>
      </c>
    </row>
    <row r="33" spans="1:11">
      <c r="A33" t="s">
        <v>11</v>
      </c>
      <c r="B33" t="s">
        <v>12</v>
      </c>
      <c r="C33">
        <v>2035</v>
      </c>
      <c r="D33" t="s">
        <v>43</v>
      </c>
      <c r="E33" t="s">
        <v>44</v>
      </c>
      <c r="F33">
        <v>271682</v>
      </c>
      <c r="G33">
        <v>0</v>
      </c>
      <c r="H33">
        <v>333874</v>
      </c>
      <c r="I33">
        <v>324599</v>
      </c>
      <c r="J33">
        <v>623705</v>
      </c>
      <c r="K33">
        <v>3572604.0000000005</v>
      </c>
    </row>
    <row r="34" spans="1:11">
      <c r="A34" t="s">
        <v>11</v>
      </c>
      <c r="B34" t="s">
        <v>12</v>
      </c>
      <c r="C34">
        <v>2040</v>
      </c>
      <c r="D34" t="s">
        <v>13</v>
      </c>
      <c r="E34" t="s">
        <v>14</v>
      </c>
      <c r="F34">
        <v>688.8</v>
      </c>
      <c r="G34">
        <v>0</v>
      </c>
      <c r="H34">
        <v>993.9</v>
      </c>
      <c r="I34">
        <v>1335.1</v>
      </c>
      <c r="J34">
        <v>2120.1</v>
      </c>
      <c r="K34">
        <v>9792.2999999999993</v>
      </c>
    </row>
    <row r="35" spans="1:11">
      <c r="A35" t="s">
        <v>11</v>
      </c>
      <c r="B35" t="s">
        <v>12</v>
      </c>
      <c r="C35">
        <v>2040</v>
      </c>
      <c r="D35" t="s">
        <v>15</v>
      </c>
      <c r="E35" t="s">
        <v>16</v>
      </c>
      <c r="F35">
        <v>125303.7</v>
      </c>
      <c r="G35">
        <v>0</v>
      </c>
      <c r="H35">
        <v>174140.4</v>
      </c>
      <c r="I35">
        <v>597.79999999999995</v>
      </c>
      <c r="J35">
        <v>337500.6</v>
      </c>
      <c r="K35">
        <v>1410451.9</v>
      </c>
    </row>
    <row r="36" spans="1:11">
      <c r="A36" t="s">
        <v>11</v>
      </c>
      <c r="B36" t="s">
        <v>12</v>
      </c>
      <c r="C36">
        <v>2040</v>
      </c>
      <c r="D36" t="s">
        <v>17</v>
      </c>
      <c r="E36" t="s">
        <v>18</v>
      </c>
      <c r="F36">
        <v>20566.5</v>
      </c>
      <c r="G36">
        <v>0</v>
      </c>
      <c r="H36">
        <v>38007.5</v>
      </c>
      <c r="I36">
        <v>19033.2</v>
      </c>
      <c r="J36">
        <v>75817.600000000006</v>
      </c>
      <c r="K36">
        <v>382546</v>
      </c>
    </row>
    <row r="37" spans="1:11">
      <c r="A37" t="s">
        <v>11</v>
      </c>
      <c r="B37" t="s">
        <v>12</v>
      </c>
      <c r="C37">
        <v>2040</v>
      </c>
      <c r="D37" t="s">
        <v>19</v>
      </c>
      <c r="E37" t="s">
        <v>20</v>
      </c>
      <c r="F37">
        <v>29517</v>
      </c>
      <c r="G37">
        <v>0</v>
      </c>
      <c r="H37">
        <v>22406.400000000001</v>
      </c>
      <c r="I37">
        <v>5534.5</v>
      </c>
      <c r="J37">
        <v>41797.5</v>
      </c>
      <c r="K37">
        <v>158744.20000000001</v>
      </c>
    </row>
    <row r="38" spans="1:11">
      <c r="A38" t="s">
        <v>11</v>
      </c>
      <c r="B38" t="s">
        <v>12</v>
      </c>
      <c r="C38">
        <v>2040</v>
      </c>
      <c r="D38" t="s">
        <v>21</v>
      </c>
      <c r="E38" t="s">
        <v>22</v>
      </c>
      <c r="F38">
        <v>23383.4</v>
      </c>
      <c r="G38">
        <v>0</v>
      </c>
      <c r="H38">
        <v>24470.6</v>
      </c>
      <c r="I38">
        <v>12615.1</v>
      </c>
      <c r="J38">
        <v>39725.9</v>
      </c>
      <c r="K38">
        <v>188659.3</v>
      </c>
    </row>
    <row r="39" spans="1:11">
      <c r="A39" t="s">
        <v>11</v>
      </c>
      <c r="B39" t="s">
        <v>12</v>
      </c>
      <c r="C39">
        <v>2040</v>
      </c>
      <c r="D39" t="s">
        <v>23</v>
      </c>
      <c r="E39" t="s">
        <v>24</v>
      </c>
      <c r="F39">
        <v>9583.4</v>
      </c>
      <c r="G39">
        <v>0</v>
      </c>
      <c r="H39">
        <v>12387.8</v>
      </c>
      <c r="I39">
        <v>2469.1999999999998</v>
      </c>
      <c r="J39">
        <v>29212.799999999999</v>
      </c>
      <c r="K39">
        <v>94356.5</v>
      </c>
    </row>
    <row r="40" spans="1:11">
      <c r="A40" t="s">
        <v>11</v>
      </c>
      <c r="B40" t="s">
        <v>12</v>
      </c>
      <c r="C40">
        <v>2040</v>
      </c>
      <c r="D40" t="s">
        <v>25</v>
      </c>
      <c r="E40" t="s">
        <v>26</v>
      </c>
      <c r="F40">
        <v>6486.8</v>
      </c>
      <c r="G40">
        <v>0</v>
      </c>
      <c r="H40">
        <v>9870.4</v>
      </c>
      <c r="I40">
        <v>4366.8</v>
      </c>
      <c r="J40">
        <v>21185.200000000001</v>
      </c>
      <c r="K40">
        <v>83612.7</v>
      </c>
    </row>
    <row r="41" spans="1:11">
      <c r="A41" t="s">
        <v>11</v>
      </c>
      <c r="B41" t="s">
        <v>12</v>
      </c>
      <c r="C41">
        <v>2040</v>
      </c>
      <c r="D41" t="s">
        <v>27</v>
      </c>
      <c r="E41" t="s">
        <v>28</v>
      </c>
      <c r="F41">
        <v>61812.3</v>
      </c>
      <c r="G41">
        <v>0</v>
      </c>
      <c r="H41">
        <v>34000.199999999997</v>
      </c>
      <c r="I41">
        <v>9093.5</v>
      </c>
      <c r="J41">
        <v>52953.9</v>
      </c>
      <c r="K41">
        <v>168578.2</v>
      </c>
    </row>
    <row r="42" spans="1:11">
      <c r="A42" t="s">
        <v>11</v>
      </c>
      <c r="B42" t="s">
        <v>12</v>
      </c>
      <c r="C42">
        <v>2040</v>
      </c>
      <c r="D42" t="s">
        <v>29</v>
      </c>
      <c r="E42" t="s">
        <v>30</v>
      </c>
      <c r="F42">
        <v>28908.5</v>
      </c>
      <c r="G42">
        <v>0</v>
      </c>
      <c r="H42">
        <v>25116.799999999999</v>
      </c>
      <c r="I42">
        <v>3135.9</v>
      </c>
      <c r="J42">
        <v>47643.5</v>
      </c>
      <c r="K42">
        <v>175257.9</v>
      </c>
    </row>
    <row r="43" spans="1:11">
      <c r="A43" t="s">
        <v>11</v>
      </c>
      <c r="B43" t="s">
        <v>12</v>
      </c>
      <c r="C43">
        <v>2040</v>
      </c>
      <c r="D43" t="s">
        <v>31</v>
      </c>
      <c r="E43" t="s">
        <v>32</v>
      </c>
      <c r="F43">
        <v>5134.3</v>
      </c>
      <c r="G43">
        <v>0</v>
      </c>
      <c r="H43">
        <v>4899.1000000000004</v>
      </c>
      <c r="I43">
        <v>3123.4</v>
      </c>
      <c r="J43">
        <v>12012.8</v>
      </c>
      <c r="K43">
        <v>56045</v>
      </c>
    </row>
    <row r="44" spans="1:11">
      <c r="A44" t="s">
        <v>11</v>
      </c>
      <c r="B44" t="s">
        <v>12</v>
      </c>
      <c r="C44">
        <v>2040</v>
      </c>
      <c r="D44" t="s">
        <v>33</v>
      </c>
      <c r="E44" t="s">
        <v>34</v>
      </c>
      <c r="F44">
        <v>3363.4</v>
      </c>
      <c r="G44">
        <v>0</v>
      </c>
      <c r="H44">
        <v>4068.5</v>
      </c>
      <c r="I44">
        <v>15778.6</v>
      </c>
      <c r="J44">
        <v>6836.7</v>
      </c>
      <c r="K44">
        <v>91481.7</v>
      </c>
    </row>
    <row r="45" spans="1:11">
      <c r="A45" t="s">
        <v>11</v>
      </c>
      <c r="B45" t="s">
        <v>12</v>
      </c>
      <c r="C45">
        <v>2040</v>
      </c>
      <c r="D45" t="s">
        <v>35</v>
      </c>
      <c r="E45" t="s">
        <v>36</v>
      </c>
      <c r="F45">
        <v>35338.6</v>
      </c>
      <c r="G45">
        <v>0</v>
      </c>
      <c r="H45">
        <v>69959.399999999994</v>
      </c>
      <c r="I45">
        <v>284012.40000000002</v>
      </c>
      <c r="J45">
        <v>138902.79999999999</v>
      </c>
      <c r="K45">
        <v>1291892.8</v>
      </c>
    </row>
    <row r="46" spans="1:11">
      <c r="A46" t="s">
        <v>11</v>
      </c>
      <c r="B46" t="s">
        <v>12</v>
      </c>
      <c r="C46">
        <v>2040</v>
      </c>
      <c r="D46" t="s">
        <v>37</v>
      </c>
      <c r="E46" t="s">
        <v>38</v>
      </c>
      <c r="F46">
        <v>2648.6</v>
      </c>
      <c r="G46">
        <v>0</v>
      </c>
      <c r="H46">
        <v>8895.7999999999993</v>
      </c>
      <c r="I46">
        <v>126895.7</v>
      </c>
      <c r="J46">
        <v>9805.1</v>
      </c>
      <c r="K46">
        <v>286602.8</v>
      </c>
    </row>
    <row r="47" spans="1:11">
      <c r="A47" t="s">
        <v>11</v>
      </c>
      <c r="B47" t="s">
        <v>12</v>
      </c>
      <c r="C47">
        <v>2040</v>
      </c>
      <c r="D47" t="s">
        <v>39</v>
      </c>
      <c r="E47" t="s">
        <v>40</v>
      </c>
      <c r="F47">
        <v>7132.8</v>
      </c>
      <c r="G47">
        <v>0</v>
      </c>
      <c r="H47">
        <v>10801.2</v>
      </c>
      <c r="I47">
        <v>2089.8000000000002</v>
      </c>
      <c r="J47">
        <v>20448.599999999999</v>
      </c>
      <c r="K47">
        <v>71410.600000000006</v>
      </c>
    </row>
    <row r="48" spans="1:11">
      <c r="A48" t="s">
        <v>11</v>
      </c>
      <c r="B48" t="s">
        <v>12</v>
      </c>
      <c r="C48">
        <v>2040</v>
      </c>
      <c r="D48" t="s">
        <v>41</v>
      </c>
      <c r="E48" t="s">
        <v>42</v>
      </c>
      <c r="F48">
        <v>1490.7</v>
      </c>
      <c r="G48">
        <v>0</v>
      </c>
      <c r="H48">
        <v>1139</v>
      </c>
      <c r="I48">
        <v>345.8</v>
      </c>
      <c r="J48">
        <v>2291.6</v>
      </c>
      <c r="K48">
        <v>8481.7000000000007</v>
      </c>
    </row>
    <row r="49" spans="1:11">
      <c r="A49" t="s">
        <v>11</v>
      </c>
      <c r="B49" t="s">
        <v>12</v>
      </c>
      <c r="C49">
        <v>2040</v>
      </c>
      <c r="D49" t="s">
        <v>43</v>
      </c>
      <c r="E49" t="s">
        <v>44</v>
      </c>
      <c r="F49">
        <v>361358.8</v>
      </c>
      <c r="G49">
        <v>0</v>
      </c>
      <c r="H49">
        <v>441157</v>
      </c>
      <c r="I49">
        <v>490426.8</v>
      </c>
      <c r="J49">
        <v>838254.7</v>
      </c>
      <c r="K49">
        <v>4477913.5999999996</v>
      </c>
    </row>
    <row r="50" spans="1:11">
      <c r="A50" t="s">
        <v>11</v>
      </c>
      <c r="B50" t="s">
        <v>12</v>
      </c>
      <c r="C50">
        <v>2045</v>
      </c>
      <c r="D50" t="s">
        <v>13</v>
      </c>
      <c r="E50" t="s">
        <v>14</v>
      </c>
      <c r="F50">
        <v>837.3</v>
      </c>
      <c r="G50">
        <v>0</v>
      </c>
      <c r="H50">
        <v>1172.7</v>
      </c>
      <c r="I50">
        <v>1399.4</v>
      </c>
      <c r="J50">
        <v>2470.5</v>
      </c>
      <c r="K50">
        <v>10781.7</v>
      </c>
    </row>
    <row r="51" spans="1:11">
      <c r="A51" t="s">
        <v>11</v>
      </c>
      <c r="B51" t="s">
        <v>12</v>
      </c>
      <c r="C51">
        <v>2045</v>
      </c>
      <c r="D51" t="s">
        <v>15</v>
      </c>
      <c r="E51" t="s">
        <v>16</v>
      </c>
      <c r="F51">
        <v>163991.70000000001</v>
      </c>
      <c r="G51">
        <v>0</v>
      </c>
      <c r="H51">
        <v>230240</v>
      </c>
      <c r="I51">
        <v>604.9</v>
      </c>
      <c r="J51">
        <v>436479</v>
      </c>
      <c r="K51">
        <v>1670715.2</v>
      </c>
    </row>
    <row r="52" spans="1:11">
      <c r="A52" t="s">
        <v>11</v>
      </c>
      <c r="B52" t="s">
        <v>12</v>
      </c>
      <c r="C52">
        <v>2045</v>
      </c>
      <c r="D52" t="s">
        <v>17</v>
      </c>
      <c r="E52" t="s">
        <v>18</v>
      </c>
      <c r="F52">
        <v>27540.7</v>
      </c>
      <c r="G52">
        <v>0</v>
      </c>
      <c r="H52">
        <v>50292.5</v>
      </c>
      <c r="I52">
        <v>20143.8</v>
      </c>
      <c r="J52">
        <v>99759.1</v>
      </c>
      <c r="K52">
        <v>464794.9</v>
      </c>
    </row>
    <row r="53" spans="1:11">
      <c r="A53" t="s">
        <v>11</v>
      </c>
      <c r="B53" t="s">
        <v>12</v>
      </c>
      <c r="C53">
        <v>2045</v>
      </c>
      <c r="D53" t="s">
        <v>19</v>
      </c>
      <c r="E53" t="s">
        <v>20</v>
      </c>
      <c r="F53">
        <v>32203</v>
      </c>
      <c r="G53">
        <v>0</v>
      </c>
      <c r="H53">
        <v>23954.400000000001</v>
      </c>
      <c r="I53">
        <v>4601.3999999999996</v>
      </c>
      <c r="J53">
        <v>43757.1</v>
      </c>
      <c r="K53">
        <v>151788.20000000001</v>
      </c>
    </row>
    <row r="54" spans="1:11">
      <c r="A54" t="s">
        <v>11</v>
      </c>
      <c r="B54" t="s">
        <v>12</v>
      </c>
      <c r="C54">
        <v>2045</v>
      </c>
      <c r="D54" t="s">
        <v>21</v>
      </c>
      <c r="E54" t="s">
        <v>22</v>
      </c>
      <c r="F54">
        <v>32064.3</v>
      </c>
      <c r="G54">
        <v>0</v>
      </c>
      <c r="H54">
        <v>32500.7</v>
      </c>
      <c r="I54">
        <v>12459</v>
      </c>
      <c r="J54">
        <v>53011</v>
      </c>
      <c r="K54">
        <v>219608.5</v>
      </c>
    </row>
    <row r="55" spans="1:11">
      <c r="A55" t="s">
        <v>11</v>
      </c>
      <c r="B55" t="s">
        <v>12</v>
      </c>
      <c r="C55">
        <v>2045</v>
      </c>
      <c r="D55" t="s">
        <v>23</v>
      </c>
      <c r="E55" t="s">
        <v>24</v>
      </c>
      <c r="F55">
        <v>13004.2</v>
      </c>
      <c r="G55">
        <v>0</v>
      </c>
      <c r="H55">
        <v>16899.5</v>
      </c>
      <c r="I55">
        <v>2732.9</v>
      </c>
      <c r="J55">
        <v>39337.9</v>
      </c>
      <c r="K55">
        <v>125494.3</v>
      </c>
    </row>
    <row r="56" spans="1:11">
      <c r="A56" t="s">
        <v>11</v>
      </c>
      <c r="B56" t="s">
        <v>12</v>
      </c>
      <c r="C56">
        <v>2045</v>
      </c>
      <c r="D56" t="s">
        <v>25</v>
      </c>
      <c r="E56" t="s">
        <v>26</v>
      </c>
      <c r="F56">
        <v>9303.1</v>
      </c>
      <c r="G56">
        <v>0</v>
      </c>
      <c r="H56">
        <v>14144.6</v>
      </c>
      <c r="I56">
        <v>5455.2</v>
      </c>
      <c r="J56">
        <v>30266.3</v>
      </c>
      <c r="K56">
        <v>117108.6</v>
      </c>
    </row>
    <row r="57" spans="1:11">
      <c r="A57" t="s">
        <v>11</v>
      </c>
      <c r="B57" t="s">
        <v>12</v>
      </c>
      <c r="C57">
        <v>2045</v>
      </c>
      <c r="D57" t="s">
        <v>27</v>
      </c>
      <c r="E57" t="s">
        <v>28</v>
      </c>
      <c r="F57">
        <v>73416.5</v>
      </c>
      <c r="G57">
        <v>0</v>
      </c>
      <c r="H57">
        <v>40372.400000000001</v>
      </c>
      <c r="I57">
        <v>9242.7000000000007</v>
      </c>
      <c r="J57">
        <v>62422.400000000001</v>
      </c>
      <c r="K57">
        <v>187288.4</v>
      </c>
    </row>
    <row r="58" spans="1:11">
      <c r="A58" t="s">
        <v>11</v>
      </c>
      <c r="B58" t="s">
        <v>12</v>
      </c>
      <c r="C58">
        <v>2045</v>
      </c>
      <c r="D58" t="s">
        <v>29</v>
      </c>
      <c r="E58" t="s">
        <v>30</v>
      </c>
      <c r="F58">
        <v>35592.199999999997</v>
      </c>
      <c r="G58">
        <v>0</v>
      </c>
      <c r="H58">
        <v>31132.2</v>
      </c>
      <c r="I58">
        <v>3013.3</v>
      </c>
      <c r="J58">
        <v>57964.800000000003</v>
      </c>
      <c r="K58">
        <v>202375.6</v>
      </c>
    </row>
    <row r="59" spans="1:11">
      <c r="A59" t="s">
        <v>11</v>
      </c>
      <c r="B59" t="s">
        <v>12</v>
      </c>
      <c r="C59">
        <v>2045</v>
      </c>
      <c r="D59" t="s">
        <v>31</v>
      </c>
      <c r="E59" t="s">
        <v>32</v>
      </c>
      <c r="F59">
        <v>5513.5</v>
      </c>
      <c r="G59">
        <v>0</v>
      </c>
      <c r="H59">
        <v>5280.9</v>
      </c>
      <c r="I59">
        <v>2794.4</v>
      </c>
      <c r="J59">
        <v>12869.5</v>
      </c>
      <c r="K59">
        <v>55641</v>
      </c>
    </row>
    <row r="60" spans="1:11">
      <c r="A60" t="s">
        <v>11</v>
      </c>
      <c r="B60" t="s">
        <v>12</v>
      </c>
      <c r="C60">
        <v>2045</v>
      </c>
      <c r="D60" t="s">
        <v>33</v>
      </c>
      <c r="E60" t="s">
        <v>34</v>
      </c>
      <c r="F60">
        <v>5661.1</v>
      </c>
      <c r="G60">
        <v>0</v>
      </c>
      <c r="H60">
        <v>6347.5</v>
      </c>
      <c r="I60">
        <v>19689.3</v>
      </c>
      <c r="J60">
        <v>11386.2</v>
      </c>
      <c r="K60">
        <v>126955.7</v>
      </c>
    </row>
    <row r="61" spans="1:11">
      <c r="A61" t="s">
        <v>11</v>
      </c>
      <c r="B61" t="s">
        <v>12</v>
      </c>
      <c r="C61">
        <v>2045</v>
      </c>
      <c r="D61" t="s">
        <v>35</v>
      </c>
      <c r="E61" t="s">
        <v>36</v>
      </c>
      <c r="F61">
        <v>50492.5</v>
      </c>
      <c r="G61">
        <v>0</v>
      </c>
      <c r="H61">
        <v>98857.5</v>
      </c>
      <c r="I61">
        <v>337733.3</v>
      </c>
      <c r="J61">
        <v>195925.5</v>
      </c>
      <c r="K61">
        <v>1680175.6</v>
      </c>
    </row>
    <row r="62" spans="1:11">
      <c r="A62" t="s">
        <v>11</v>
      </c>
      <c r="B62" t="s">
        <v>12</v>
      </c>
      <c r="C62">
        <v>2045</v>
      </c>
      <c r="D62" t="s">
        <v>37</v>
      </c>
      <c r="E62" t="s">
        <v>38</v>
      </c>
      <c r="F62">
        <v>3783.9</v>
      </c>
      <c r="G62">
        <v>0</v>
      </c>
      <c r="H62">
        <v>12110.6</v>
      </c>
      <c r="I62">
        <v>142351.6</v>
      </c>
      <c r="J62">
        <v>13869.9</v>
      </c>
      <c r="K62">
        <v>340688.2</v>
      </c>
    </row>
    <row r="63" spans="1:11">
      <c r="A63" t="s">
        <v>11</v>
      </c>
      <c r="B63" t="s">
        <v>12</v>
      </c>
      <c r="C63">
        <v>2045</v>
      </c>
      <c r="D63" t="s">
        <v>39</v>
      </c>
      <c r="E63" t="s">
        <v>40</v>
      </c>
      <c r="F63">
        <v>8241.7999999999993</v>
      </c>
      <c r="G63">
        <v>0</v>
      </c>
      <c r="H63">
        <v>12982.7</v>
      </c>
      <c r="I63">
        <v>1775.7</v>
      </c>
      <c r="J63">
        <v>24471.9</v>
      </c>
      <c r="K63">
        <v>79363.399999999994</v>
      </c>
    </row>
    <row r="64" spans="1:11">
      <c r="A64" t="s">
        <v>11</v>
      </c>
      <c r="B64" t="s">
        <v>12</v>
      </c>
      <c r="C64">
        <v>2045</v>
      </c>
      <c r="D64" t="s">
        <v>41</v>
      </c>
      <c r="E64" t="s">
        <v>42</v>
      </c>
      <c r="F64">
        <v>1822</v>
      </c>
      <c r="G64">
        <v>0</v>
      </c>
      <c r="H64">
        <v>1416.8</v>
      </c>
      <c r="I64">
        <v>332.7</v>
      </c>
      <c r="J64">
        <v>2826.1</v>
      </c>
      <c r="K64">
        <v>9632.9</v>
      </c>
    </row>
    <row r="65" spans="1:11">
      <c r="A65" t="s">
        <v>11</v>
      </c>
      <c r="B65" t="s">
        <v>12</v>
      </c>
      <c r="C65">
        <v>2045</v>
      </c>
      <c r="D65" t="s">
        <v>43</v>
      </c>
      <c r="E65" t="s">
        <v>44</v>
      </c>
      <c r="F65">
        <v>463467.8</v>
      </c>
      <c r="G65">
        <v>0</v>
      </c>
      <c r="H65">
        <v>577705</v>
      </c>
      <c r="I65">
        <v>564329.6</v>
      </c>
      <c r="J65">
        <v>1086817.2</v>
      </c>
      <c r="K65">
        <v>5442412.2000000002</v>
      </c>
    </row>
    <row r="66" spans="1:11">
      <c r="A66" t="s">
        <v>11</v>
      </c>
      <c r="B66" t="s">
        <v>12</v>
      </c>
      <c r="C66">
        <v>2050</v>
      </c>
      <c r="D66" t="s">
        <v>13</v>
      </c>
      <c r="E66" t="s">
        <v>14</v>
      </c>
      <c r="F66">
        <v>944</v>
      </c>
      <c r="G66">
        <v>0</v>
      </c>
      <c r="H66">
        <v>1476</v>
      </c>
      <c r="I66">
        <v>906</v>
      </c>
      <c r="J66">
        <v>2831</v>
      </c>
      <c r="K66">
        <v>11074</v>
      </c>
    </row>
    <row r="67" spans="1:11">
      <c r="A67" t="s">
        <v>11</v>
      </c>
      <c r="B67" t="s">
        <v>12</v>
      </c>
      <c r="C67">
        <v>2050</v>
      </c>
      <c r="D67" t="s">
        <v>15</v>
      </c>
      <c r="E67" t="s">
        <v>16</v>
      </c>
      <c r="F67">
        <v>205248</v>
      </c>
      <c r="G67">
        <v>0</v>
      </c>
      <c r="H67">
        <v>290532</v>
      </c>
      <c r="I67">
        <v>449</v>
      </c>
      <c r="J67">
        <v>547825</v>
      </c>
      <c r="K67">
        <v>1914267</v>
      </c>
    </row>
    <row r="68" spans="1:11">
      <c r="A68" t="s">
        <v>11</v>
      </c>
      <c r="B68" t="s">
        <v>12</v>
      </c>
      <c r="C68">
        <v>2050</v>
      </c>
      <c r="D68" t="s">
        <v>17</v>
      </c>
      <c r="E68" t="s">
        <v>18</v>
      </c>
      <c r="F68">
        <v>37263</v>
      </c>
      <c r="G68">
        <v>0</v>
      </c>
      <c r="H68">
        <v>69000</v>
      </c>
      <c r="I68">
        <v>15772</v>
      </c>
      <c r="J68">
        <v>135114</v>
      </c>
      <c r="K68">
        <v>568659</v>
      </c>
    </row>
    <row r="69" spans="1:11">
      <c r="A69" t="s">
        <v>11</v>
      </c>
      <c r="B69" t="s">
        <v>12</v>
      </c>
      <c r="C69">
        <v>2050</v>
      </c>
      <c r="D69" t="s">
        <v>19</v>
      </c>
      <c r="E69" t="s">
        <v>20</v>
      </c>
      <c r="F69">
        <v>35190</v>
      </c>
      <c r="G69">
        <v>0</v>
      </c>
      <c r="H69">
        <v>26515</v>
      </c>
      <c r="I69">
        <v>2610.9999999999995</v>
      </c>
      <c r="J69">
        <v>49094</v>
      </c>
      <c r="K69">
        <v>146923</v>
      </c>
    </row>
    <row r="70" spans="1:11">
      <c r="A70" t="s">
        <v>11</v>
      </c>
      <c r="B70" t="s">
        <v>12</v>
      </c>
      <c r="C70">
        <v>2050</v>
      </c>
      <c r="D70" t="s">
        <v>21</v>
      </c>
      <c r="E70" t="s">
        <v>22</v>
      </c>
      <c r="F70">
        <v>43787</v>
      </c>
      <c r="G70">
        <v>0</v>
      </c>
      <c r="H70">
        <v>44323</v>
      </c>
      <c r="I70">
        <v>8542</v>
      </c>
      <c r="J70">
        <v>72013</v>
      </c>
      <c r="K70">
        <v>252225</v>
      </c>
    </row>
    <row r="71" spans="1:11">
      <c r="A71" t="s">
        <v>11</v>
      </c>
      <c r="B71" t="s">
        <v>12</v>
      </c>
      <c r="C71">
        <v>2050</v>
      </c>
      <c r="D71" t="s">
        <v>23</v>
      </c>
      <c r="E71" t="s">
        <v>24</v>
      </c>
      <c r="F71">
        <v>17391</v>
      </c>
      <c r="G71">
        <v>0</v>
      </c>
      <c r="H71">
        <v>23081</v>
      </c>
      <c r="I71">
        <v>2113</v>
      </c>
      <c r="J71">
        <v>52900</v>
      </c>
      <c r="K71">
        <v>162674</v>
      </c>
    </row>
    <row r="72" spans="1:11">
      <c r="A72" t="s">
        <v>11</v>
      </c>
      <c r="B72" t="s">
        <v>12</v>
      </c>
      <c r="C72">
        <v>2050</v>
      </c>
      <c r="D72" t="s">
        <v>25</v>
      </c>
      <c r="E72" t="s">
        <v>26</v>
      </c>
      <c r="F72">
        <v>13117</v>
      </c>
      <c r="G72">
        <v>0</v>
      </c>
      <c r="H72">
        <v>20111</v>
      </c>
      <c r="I72">
        <v>5066.0000000000009</v>
      </c>
      <c r="J72">
        <v>42780</v>
      </c>
      <c r="K72">
        <v>159690</v>
      </c>
    </row>
    <row r="73" spans="1:11">
      <c r="A73" t="s">
        <v>11</v>
      </c>
      <c r="B73" t="s">
        <v>12</v>
      </c>
      <c r="C73">
        <v>2050</v>
      </c>
      <c r="D73" t="s">
        <v>27</v>
      </c>
      <c r="E73" t="s">
        <v>28</v>
      </c>
      <c r="F73">
        <v>85004</v>
      </c>
      <c r="G73">
        <v>0</v>
      </c>
      <c r="H73">
        <v>47999</v>
      </c>
      <c r="I73">
        <v>5952</v>
      </c>
      <c r="J73">
        <v>74217</v>
      </c>
      <c r="K73">
        <v>200506</v>
      </c>
    </row>
    <row r="74" spans="1:11">
      <c r="A74" t="s">
        <v>11</v>
      </c>
      <c r="B74" t="s">
        <v>12</v>
      </c>
      <c r="C74">
        <v>2050</v>
      </c>
      <c r="D74" t="s">
        <v>29</v>
      </c>
      <c r="E74" t="s">
        <v>30</v>
      </c>
      <c r="F74">
        <v>48722</v>
      </c>
      <c r="G74">
        <v>0</v>
      </c>
      <c r="H74">
        <v>42800</v>
      </c>
      <c r="I74">
        <v>2430</v>
      </c>
      <c r="J74">
        <v>79672</v>
      </c>
      <c r="K74">
        <v>258442</v>
      </c>
    </row>
    <row r="75" spans="1:11">
      <c r="A75" t="s">
        <v>11</v>
      </c>
      <c r="B75" t="s">
        <v>12</v>
      </c>
      <c r="C75">
        <v>2050</v>
      </c>
      <c r="D75" t="s">
        <v>31</v>
      </c>
      <c r="E75" t="s">
        <v>32</v>
      </c>
      <c r="F75">
        <v>5249</v>
      </c>
      <c r="G75">
        <v>0</v>
      </c>
      <c r="H75">
        <v>5301</v>
      </c>
      <c r="I75">
        <v>1561.9999999999998</v>
      </c>
      <c r="J75">
        <v>12685</v>
      </c>
      <c r="K75">
        <v>49438</v>
      </c>
    </row>
    <row r="76" spans="1:11">
      <c r="A76" t="s">
        <v>11</v>
      </c>
      <c r="B76" t="s">
        <v>12</v>
      </c>
      <c r="C76">
        <v>2050</v>
      </c>
      <c r="D76" t="s">
        <v>33</v>
      </c>
      <c r="E76" t="s">
        <v>34</v>
      </c>
      <c r="F76">
        <v>9199</v>
      </c>
      <c r="G76">
        <v>0</v>
      </c>
      <c r="H76">
        <v>10450</v>
      </c>
      <c r="I76">
        <v>18537</v>
      </c>
      <c r="J76">
        <v>18645</v>
      </c>
      <c r="K76">
        <v>176005</v>
      </c>
    </row>
    <row r="77" spans="1:11">
      <c r="A77" t="s">
        <v>11</v>
      </c>
      <c r="B77" t="s">
        <v>12</v>
      </c>
      <c r="C77">
        <v>2050</v>
      </c>
      <c r="D77" t="s">
        <v>35</v>
      </c>
      <c r="E77" t="s">
        <v>36</v>
      </c>
      <c r="F77">
        <v>69650</v>
      </c>
      <c r="G77">
        <v>0</v>
      </c>
      <c r="H77">
        <v>148856</v>
      </c>
      <c r="I77">
        <v>289113</v>
      </c>
      <c r="J77">
        <v>271114</v>
      </c>
      <c r="K77">
        <v>2087828.9999999998</v>
      </c>
    </row>
    <row r="78" spans="1:11">
      <c r="A78" t="s">
        <v>11</v>
      </c>
      <c r="B78" t="s">
        <v>12</v>
      </c>
      <c r="C78">
        <v>2050</v>
      </c>
      <c r="D78" t="s">
        <v>37</v>
      </c>
      <c r="E78" t="s">
        <v>38</v>
      </c>
      <c r="F78">
        <v>5207</v>
      </c>
      <c r="G78">
        <v>0</v>
      </c>
      <c r="H78">
        <v>20209</v>
      </c>
      <c r="I78">
        <v>120913.00000000001</v>
      </c>
      <c r="J78">
        <v>19669</v>
      </c>
      <c r="K78">
        <v>400374</v>
      </c>
    </row>
    <row r="79" spans="1:11">
      <c r="A79" t="s">
        <v>11</v>
      </c>
      <c r="B79" t="s">
        <v>12</v>
      </c>
      <c r="C79">
        <v>2050</v>
      </c>
      <c r="D79" t="s">
        <v>39</v>
      </c>
      <c r="E79" t="s">
        <v>40</v>
      </c>
      <c r="F79">
        <v>8938</v>
      </c>
      <c r="G79">
        <v>0</v>
      </c>
      <c r="H79">
        <v>14992</v>
      </c>
      <c r="I79">
        <v>909</v>
      </c>
      <c r="J79">
        <v>28489</v>
      </c>
      <c r="K79">
        <v>83356</v>
      </c>
    </row>
    <row r="80" spans="1:11">
      <c r="A80" t="s">
        <v>11</v>
      </c>
      <c r="B80" t="s">
        <v>12</v>
      </c>
      <c r="C80">
        <v>2050</v>
      </c>
      <c r="D80" t="s">
        <v>41</v>
      </c>
      <c r="E80" t="s">
        <v>42</v>
      </c>
      <c r="F80">
        <v>2033</v>
      </c>
      <c r="G80">
        <v>0</v>
      </c>
      <c r="H80">
        <v>1603</v>
      </c>
      <c r="I80">
        <v>221</v>
      </c>
      <c r="J80">
        <v>3195</v>
      </c>
      <c r="K80">
        <v>9959</v>
      </c>
    </row>
    <row r="81" spans="1:11">
      <c r="A81" t="s">
        <v>11</v>
      </c>
      <c r="B81" t="s">
        <v>12</v>
      </c>
      <c r="C81">
        <v>2050</v>
      </c>
      <c r="D81" t="s">
        <v>43</v>
      </c>
      <c r="E81" t="s">
        <v>44</v>
      </c>
      <c r="F81">
        <v>586942</v>
      </c>
      <c r="G81">
        <v>0</v>
      </c>
      <c r="H81">
        <v>767248</v>
      </c>
      <c r="I81">
        <v>475096</v>
      </c>
      <c r="J81">
        <v>1410243</v>
      </c>
      <c r="K81">
        <v>6481421</v>
      </c>
    </row>
    <row r="82" spans="1:11">
      <c r="A82" t="s">
        <v>11</v>
      </c>
      <c r="B82" t="s">
        <v>12</v>
      </c>
      <c r="C82">
        <v>2055</v>
      </c>
      <c r="D82" t="s">
        <v>13</v>
      </c>
      <c r="E82" t="s">
        <v>14</v>
      </c>
      <c r="F82">
        <v>1169.8</v>
      </c>
      <c r="G82">
        <v>0</v>
      </c>
      <c r="H82">
        <v>1576.3</v>
      </c>
      <c r="I82">
        <v>1156.0999999999999</v>
      </c>
      <c r="J82">
        <v>3297.7</v>
      </c>
      <c r="K82">
        <v>12890.8</v>
      </c>
    </row>
    <row r="83" spans="1:11">
      <c r="A83" t="s">
        <v>11</v>
      </c>
      <c r="B83" t="s">
        <v>12</v>
      </c>
      <c r="C83">
        <v>2055</v>
      </c>
      <c r="D83" t="s">
        <v>15</v>
      </c>
      <c r="E83" t="s">
        <v>16</v>
      </c>
      <c r="F83">
        <v>241405.7</v>
      </c>
      <c r="G83">
        <v>0</v>
      </c>
      <c r="H83">
        <v>342869.6</v>
      </c>
      <c r="I83">
        <v>646</v>
      </c>
      <c r="J83">
        <v>629570.19999999995</v>
      </c>
      <c r="K83">
        <v>2169295.7999999998</v>
      </c>
    </row>
    <row r="84" spans="1:11">
      <c r="A84" t="s">
        <v>11</v>
      </c>
      <c r="B84" t="s">
        <v>12</v>
      </c>
      <c r="C84">
        <v>2055</v>
      </c>
      <c r="D84" t="s">
        <v>17</v>
      </c>
      <c r="E84" t="s">
        <v>18</v>
      </c>
      <c r="F84">
        <v>46469.7</v>
      </c>
      <c r="G84">
        <v>0</v>
      </c>
      <c r="H84">
        <v>83680.5</v>
      </c>
      <c r="I84">
        <v>20517.7</v>
      </c>
      <c r="J84">
        <v>162823.5</v>
      </c>
      <c r="K84">
        <v>667314.5</v>
      </c>
    </row>
    <row r="85" spans="1:11">
      <c r="A85" t="s">
        <v>11</v>
      </c>
      <c r="B85" t="s">
        <v>12</v>
      </c>
      <c r="C85">
        <v>2055</v>
      </c>
      <c r="D85" t="s">
        <v>19</v>
      </c>
      <c r="E85" t="s">
        <v>20</v>
      </c>
      <c r="F85">
        <v>41071.4</v>
      </c>
      <c r="G85">
        <v>0</v>
      </c>
      <c r="H85">
        <v>30072.799999999999</v>
      </c>
      <c r="I85">
        <v>2961.8</v>
      </c>
      <c r="J85">
        <v>53552.5</v>
      </c>
      <c r="K85">
        <v>160598.1</v>
      </c>
    </row>
    <row r="86" spans="1:11">
      <c r="A86" t="s">
        <v>11</v>
      </c>
      <c r="B86" t="s">
        <v>12</v>
      </c>
      <c r="C86">
        <v>2055</v>
      </c>
      <c r="D86" t="s">
        <v>21</v>
      </c>
      <c r="E86" t="s">
        <v>22</v>
      </c>
      <c r="F86">
        <v>57027.199999999997</v>
      </c>
      <c r="G86">
        <v>0</v>
      </c>
      <c r="H86">
        <v>55296.2</v>
      </c>
      <c r="I86">
        <v>10309.6</v>
      </c>
      <c r="J86">
        <v>89728.2</v>
      </c>
      <c r="K86">
        <v>297026.2</v>
      </c>
    </row>
    <row r="87" spans="1:11">
      <c r="A87" t="s">
        <v>11</v>
      </c>
      <c r="B87" t="s">
        <v>12</v>
      </c>
      <c r="C87">
        <v>2055</v>
      </c>
      <c r="D87" t="s">
        <v>23</v>
      </c>
      <c r="E87" t="s">
        <v>24</v>
      </c>
      <c r="F87">
        <v>22218</v>
      </c>
      <c r="G87">
        <v>0</v>
      </c>
      <c r="H87">
        <v>29372.5</v>
      </c>
      <c r="I87">
        <v>2773.5</v>
      </c>
      <c r="J87">
        <v>65676.600000000006</v>
      </c>
      <c r="K87">
        <v>208507.8</v>
      </c>
    </row>
    <row r="88" spans="1:11">
      <c r="A88" t="s">
        <v>11</v>
      </c>
      <c r="B88" t="s">
        <v>12</v>
      </c>
      <c r="C88">
        <v>2055</v>
      </c>
      <c r="D88" t="s">
        <v>25</v>
      </c>
      <c r="E88" t="s">
        <v>26</v>
      </c>
      <c r="F88">
        <v>17707.2</v>
      </c>
      <c r="G88">
        <v>0</v>
      </c>
      <c r="H88">
        <v>26960.3</v>
      </c>
      <c r="I88">
        <v>7145.8</v>
      </c>
      <c r="J88">
        <v>57040.7</v>
      </c>
      <c r="K88">
        <v>208632.4</v>
      </c>
    </row>
    <row r="89" spans="1:11">
      <c r="A89" t="s">
        <v>11</v>
      </c>
      <c r="B89" t="s">
        <v>12</v>
      </c>
      <c r="C89">
        <v>2055</v>
      </c>
      <c r="D89" t="s">
        <v>27</v>
      </c>
      <c r="E89" t="s">
        <v>28</v>
      </c>
      <c r="F89">
        <v>91792.1</v>
      </c>
      <c r="G89">
        <v>0</v>
      </c>
      <c r="H89">
        <v>49961</v>
      </c>
      <c r="I89">
        <v>6807.8</v>
      </c>
      <c r="J89">
        <v>76899.8</v>
      </c>
      <c r="K89">
        <v>206602.8</v>
      </c>
    </row>
    <row r="90" spans="1:11">
      <c r="A90" t="s">
        <v>11</v>
      </c>
      <c r="B90" t="s">
        <v>12</v>
      </c>
      <c r="C90">
        <v>2055</v>
      </c>
      <c r="D90" t="s">
        <v>29</v>
      </c>
      <c r="E90" t="s">
        <v>30</v>
      </c>
      <c r="F90">
        <v>57757.8</v>
      </c>
      <c r="G90">
        <v>0</v>
      </c>
      <c r="H90">
        <v>50694</v>
      </c>
      <c r="I90">
        <v>2831.4</v>
      </c>
      <c r="J90">
        <v>92111.3</v>
      </c>
      <c r="K90">
        <v>302687.3</v>
      </c>
    </row>
    <row r="91" spans="1:11">
      <c r="A91" t="s">
        <v>11</v>
      </c>
      <c r="B91" t="s">
        <v>12</v>
      </c>
      <c r="C91">
        <v>2055</v>
      </c>
      <c r="D91" t="s">
        <v>31</v>
      </c>
      <c r="E91" t="s">
        <v>32</v>
      </c>
      <c r="F91">
        <v>6021.2</v>
      </c>
      <c r="G91">
        <v>0</v>
      </c>
      <c r="H91">
        <v>5806.7</v>
      </c>
      <c r="I91">
        <v>1881.3</v>
      </c>
      <c r="J91">
        <v>13947</v>
      </c>
      <c r="K91">
        <v>53564.5</v>
      </c>
    </row>
    <row r="92" spans="1:11">
      <c r="A92" t="s">
        <v>11</v>
      </c>
      <c r="B92" t="s">
        <v>12</v>
      </c>
      <c r="C92">
        <v>2055</v>
      </c>
      <c r="D92" t="s">
        <v>33</v>
      </c>
      <c r="E92" t="s">
        <v>34</v>
      </c>
      <c r="F92">
        <v>13919.2</v>
      </c>
      <c r="G92">
        <v>0</v>
      </c>
      <c r="H92">
        <v>14082.1</v>
      </c>
      <c r="I92">
        <v>30234.1</v>
      </c>
      <c r="J92">
        <v>27600</v>
      </c>
      <c r="K92">
        <v>253513.3</v>
      </c>
    </row>
    <row r="93" spans="1:11">
      <c r="A93" t="s">
        <v>11</v>
      </c>
      <c r="B93" t="s">
        <v>12</v>
      </c>
      <c r="C93">
        <v>2055</v>
      </c>
      <c r="D93" t="s">
        <v>35</v>
      </c>
      <c r="E93" t="s">
        <v>36</v>
      </c>
      <c r="F93">
        <v>95904.1</v>
      </c>
      <c r="G93">
        <v>0</v>
      </c>
      <c r="H93">
        <v>184713.4</v>
      </c>
      <c r="I93">
        <v>403647</v>
      </c>
      <c r="J93">
        <v>360777.6</v>
      </c>
      <c r="K93">
        <v>2629983</v>
      </c>
    </row>
    <row r="94" spans="1:11">
      <c r="A94" t="s">
        <v>11</v>
      </c>
      <c r="B94" t="s">
        <v>12</v>
      </c>
      <c r="C94">
        <v>2055</v>
      </c>
      <c r="D94" t="s">
        <v>37</v>
      </c>
      <c r="E94" t="s">
        <v>38</v>
      </c>
      <c r="F94">
        <v>7054</v>
      </c>
      <c r="G94">
        <v>0</v>
      </c>
      <c r="H94">
        <v>20391.7</v>
      </c>
      <c r="I94">
        <v>163199.5</v>
      </c>
      <c r="J94">
        <v>25300.3</v>
      </c>
      <c r="K94">
        <v>384540.2</v>
      </c>
    </row>
    <row r="95" spans="1:11">
      <c r="A95" t="s">
        <v>11</v>
      </c>
      <c r="B95" t="s">
        <v>12</v>
      </c>
      <c r="C95">
        <v>2055</v>
      </c>
      <c r="D95" t="s">
        <v>39</v>
      </c>
      <c r="E95" t="s">
        <v>40</v>
      </c>
      <c r="F95">
        <v>10701.1</v>
      </c>
      <c r="G95">
        <v>0</v>
      </c>
      <c r="H95">
        <v>17879.400000000001</v>
      </c>
      <c r="I95">
        <v>1063.4000000000001</v>
      </c>
      <c r="J95">
        <v>33318.400000000001</v>
      </c>
      <c r="K95">
        <v>96087.4</v>
      </c>
    </row>
    <row r="96" spans="1:11">
      <c r="A96" t="s">
        <v>11</v>
      </c>
      <c r="B96" t="s">
        <v>12</v>
      </c>
      <c r="C96">
        <v>2055</v>
      </c>
      <c r="D96" t="s">
        <v>41</v>
      </c>
      <c r="E96" t="s">
        <v>42</v>
      </c>
      <c r="F96">
        <v>1513.4</v>
      </c>
      <c r="G96">
        <v>0</v>
      </c>
      <c r="H96">
        <v>1190.9000000000001</v>
      </c>
      <c r="I96">
        <v>169</v>
      </c>
      <c r="J96">
        <v>2348.8000000000002</v>
      </c>
      <c r="K96">
        <v>6984.2</v>
      </c>
    </row>
    <row r="97" spans="1:11">
      <c r="A97" t="s">
        <v>11</v>
      </c>
      <c r="B97" t="s">
        <v>12</v>
      </c>
      <c r="C97">
        <v>2055</v>
      </c>
      <c r="D97" t="s">
        <v>43</v>
      </c>
      <c r="E97" t="s">
        <v>44</v>
      </c>
      <c r="F97">
        <v>711731.9</v>
      </c>
      <c r="G97">
        <v>0</v>
      </c>
      <c r="H97">
        <v>914547.4</v>
      </c>
      <c r="I97">
        <v>655344</v>
      </c>
      <c r="J97">
        <v>1693992.6</v>
      </c>
      <c r="K97">
        <v>7658228.2999999998</v>
      </c>
    </row>
    <row r="98" spans="1:11">
      <c r="A98" t="s">
        <v>11</v>
      </c>
      <c r="B98" t="s">
        <v>12</v>
      </c>
      <c r="C98">
        <v>2060</v>
      </c>
      <c r="D98" t="s">
        <v>13</v>
      </c>
      <c r="E98" t="s">
        <v>14</v>
      </c>
      <c r="F98">
        <v>1537.6</v>
      </c>
      <c r="G98">
        <v>0</v>
      </c>
      <c r="H98">
        <v>2050.9</v>
      </c>
      <c r="I98">
        <v>1265.7</v>
      </c>
      <c r="J98">
        <v>4290.3999999999996</v>
      </c>
      <c r="K98">
        <v>16028.6</v>
      </c>
    </row>
    <row r="99" spans="1:11">
      <c r="A99" t="s">
        <v>11</v>
      </c>
      <c r="B99" t="s">
        <v>12</v>
      </c>
      <c r="C99">
        <v>2060</v>
      </c>
      <c r="D99" t="s">
        <v>15</v>
      </c>
      <c r="E99" t="s">
        <v>16</v>
      </c>
      <c r="F99">
        <v>273453</v>
      </c>
      <c r="G99">
        <v>0</v>
      </c>
      <c r="H99">
        <v>388886.3</v>
      </c>
      <c r="I99">
        <v>726.1</v>
      </c>
      <c r="J99">
        <v>710989.2</v>
      </c>
      <c r="K99">
        <v>2380312.1</v>
      </c>
    </row>
    <row r="100" spans="1:11">
      <c r="A100" t="s">
        <v>11</v>
      </c>
      <c r="B100" t="s">
        <v>12</v>
      </c>
      <c r="C100">
        <v>2060</v>
      </c>
      <c r="D100" t="s">
        <v>17</v>
      </c>
      <c r="E100" t="s">
        <v>18</v>
      </c>
      <c r="F100">
        <v>55010.400000000001</v>
      </c>
      <c r="G100">
        <v>0</v>
      </c>
      <c r="H100">
        <v>98894.399999999994</v>
      </c>
      <c r="I100">
        <v>19947.900000000001</v>
      </c>
      <c r="J100">
        <v>190320.5</v>
      </c>
      <c r="K100">
        <v>744231.5</v>
      </c>
    </row>
    <row r="101" spans="1:11">
      <c r="A101" t="s">
        <v>11</v>
      </c>
      <c r="B101" t="s">
        <v>12</v>
      </c>
      <c r="C101">
        <v>2060</v>
      </c>
      <c r="D101" t="s">
        <v>19</v>
      </c>
      <c r="E101" t="s">
        <v>20</v>
      </c>
      <c r="F101">
        <v>46181.8</v>
      </c>
      <c r="G101">
        <v>0</v>
      </c>
      <c r="H101">
        <v>33823.9</v>
      </c>
      <c r="I101">
        <v>2682.6</v>
      </c>
      <c r="J101">
        <v>59936.9</v>
      </c>
      <c r="K101">
        <v>171884</v>
      </c>
    </row>
    <row r="102" spans="1:11">
      <c r="A102" t="s">
        <v>11</v>
      </c>
      <c r="B102" t="s">
        <v>12</v>
      </c>
      <c r="C102">
        <v>2060</v>
      </c>
      <c r="D102" t="s">
        <v>21</v>
      </c>
      <c r="E102" t="s">
        <v>22</v>
      </c>
      <c r="F102">
        <v>71310.2</v>
      </c>
      <c r="G102">
        <v>0</v>
      </c>
      <c r="H102">
        <v>68223.5</v>
      </c>
      <c r="I102">
        <v>9460.6</v>
      </c>
      <c r="J102">
        <v>109841.4</v>
      </c>
      <c r="K102">
        <v>344759.3</v>
      </c>
    </row>
    <row r="103" spans="1:11">
      <c r="A103" t="s">
        <v>11</v>
      </c>
      <c r="B103" t="s">
        <v>12</v>
      </c>
      <c r="C103">
        <v>2060</v>
      </c>
      <c r="D103" t="s">
        <v>23</v>
      </c>
      <c r="E103" t="s">
        <v>24</v>
      </c>
      <c r="F103">
        <v>28279.7</v>
      </c>
      <c r="G103">
        <v>0</v>
      </c>
      <c r="H103">
        <v>37680.300000000003</v>
      </c>
      <c r="I103">
        <v>2897.2</v>
      </c>
      <c r="J103">
        <v>82529.8</v>
      </c>
      <c r="K103">
        <v>263605.5</v>
      </c>
    </row>
    <row r="104" spans="1:11">
      <c r="A104" t="s">
        <v>11</v>
      </c>
      <c r="B104" t="s">
        <v>12</v>
      </c>
      <c r="C104">
        <v>2060</v>
      </c>
      <c r="D104" t="s">
        <v>25</v>
      </c>
      <c r="E104" t="s">
        <v>26</v>
      </c>
      <c r="F104">
        <v>23786.9</v>
      </c>
      <c r="G104">
        <v>0</v>
      </c>
      <c r="H104">
        <v>36194.300000000003</v>
      </c>
      <c r="I104">
        <v>7976.4</v>
      </c>
      <c r="J104">
        <v>76040.3</v>
      </c>
      <c r="K104">
        <v>270596.90000000002</v>
      </c>
    </row>
    <row r="105" spans="1:11">
      <c r="A105" t="s">
        <v>11</v>
      </c>
      <c r="B105" t="s">
        <v>12</v>
      </c>
      <c r="C105">
        <v>2060</v>
      </c>
      <c r="D105" t="s">
        <v>27</v>
      </c>
      <c r="E105" t="s">
        <v>28</v>
      </c>
      <c r="F105">
        <v>95053.1</v>
      </c>
      <c r="G105">
        <v>0</v>
      </c>
      <c r="H105">
        <v>51531.9</v>
      </c>
      <c r="I105">
        <v>5909.9</v>
      </c>
      <c r="J105">
        <v>79329.2</v>
      </c>
      <c r="K105">
        <v>201688.3</v>
      </c>
    </row>
    <row r="106" spans="1:11">
      <c r="A106" t="s">
        <v>11</v>
      </c>
      <c r="B106" t="s">
        <v>12</v>
      </c>
      <c r="C106">
        <v>2060</v>
      </c>
      <c r="D106" t="s">
        <v>29</v>
      </c>
      <c r="E106" t="s">
        <v>30</v>
      </c>
      <c r="F106">
        <v>63323.5</v>
      </c>
      <c r="G106">
        <v>0</v>
      </c>
      <c r="H106">
        <v>55729.3</v>
      </c>
      <c r="I106">
        <v>2354.9</v>
      </c>
      <c r="J106">
        <v>100083.9</v>
      </c>
      <c r="K106">
        <v>321079.2</v>
      </c>
    </row>
    <row r="107" spans="1:11">
      <c r="A107" t="s">
        <v>11</v>
      </c>
      <c r="B107" t="s">
        <v>12</v>
      </c>
      <c r="C107">
        <v>2060</v>
      </c>
      <c r="D107" t="s">
        <v>31</v>
      </c>
      <c r="E107" t="s">
        <v>32</v>
      </c>
      <c r="F107">
        <v>7005.7</v>
      </c>
      <c r="G107">
        <v>0</v>
      </c>
      <c r="H107">
        <v>6752.2</v>
      </c>
      <c r="I107">
        <v>1888.2</v>
      </c>
      <c r="J107">
        <v>16100.7</v>
      </c>
      <c r="K107">
        <v>58728</v>
      </c>
    </row>
    <row r="108" spans="1:11">
      <c r="A108" t="s">
        <v>11</v>
      </c>
      <c r="B108" t="s">
        <v>12</v>
      </c>
      <c r="C108">
        <v>2060</v>
      </c>
      <c r="D108" t="s">
        <v>33</v>
      </c>
      <c r="E108" t="s">
        <v>34</v>
      </c>
      <c r="F108">
        <v>20214.599999999999</v>
      </c>
      <c r="G108">
        <v>0</v>
      </c>
      <c r="H108">
        <v>20035.599999999999</v>
      </c>
      <c r="I108">
        <v>39267.599999999999</v>
      </c>
      <c r="J108">
        <v>39836</v>
      </c>
      <c r="K108">
        <v>374031.2</v>
      </c>
    </row>
    <row r="109" spans="1:11">
      <c r="A109" t="s">
        <v>11</v>
      </c>
      <c r="B109" t="s">
        <v>12</v>
      </c>
      <c r="C109">
        <v>2060</v>
      </c>
      <c r="D109" t="s">
        <v>35</v>
      </c>
      <c r="E109" t="s">
        <v>36</v>
      </c>
      <c r="F109">
        <v>128594.5</v>
      </c>
      <c r="G109">
        <v>0</v>
      </c>
      <c r="H109">
        <v>247476.8</v>
      </c>
      <c r="I109">
        <v>437912.7</v>
      </c>
      <c r="J109">
        <v>477765</v>
      </c>
      <c r="K109">
        <v>3325974.5</v>
      </c>
    </row>
    <row r="110" spans="1:11">
      <c r="A110" t="s">
        <v>11</v>
      </c>
      <c r="B110" t="s">
        <v>12</v>
      </c>
      <c r="C110">
        <v>2060</v>
      </c>
      <c r="D110" t="s">
        <v>37</v>
      </c>
      <c r="E110" t="s">
        <v>38</v>
      </c>
      <c r="F110">
        <v>9402.1</v>
      </c>
      <c r="G110">
        <v>0</v>
      </c>
      <c r="H110">
        <v>25869.1</v>
      </c>
      <c r="I110">
        <v>170405.8</v>
      </c>
      <c r="J110">
        <v>33338.800000000003</v>
      </c>
      <c r="K110">
        <v>461720.6</v>
      </c>
    </row>
    <row r="111" spans="1:11">
      <c r="A111" t="s">
        <v>11</v>
      </c>
      <c r="B111" t="s">
        <v>12</v>
      </c>
      <c r="C111">
        <v>2060</v>
      </c>
      <c r="D111" t="s">
        <v>39</v>
      </c>
      <c r="E111" t="s">
        <v>40</v>
      </c>
      <c r="F111">
        <v>12977.7</v>
      </c>
      <c r="G111">
        <v>0</v>
      </c>
      <c r="H111">
        <v>21766.1</v>
      </c>
      <c r="I111">
        <v>1022.4</v>
      </c>
      <c r="J111">
        <v>40288</v>
      </c>
      <c r="K111">
        <v>112767.3</v>
      </c>
    </row>
    <row r="112" spans="1:11">
      <c r="A112" t="s">
        <v>11</v>
      </c>
      <c r="B112" t="s">
        <v>12</v>
      </c>
      <c r="C112">
        <v>2060</v>
      </c>
      <c r="D112" t="s">
        <v>41</v>
      </c>
      <c r="E112" t="s">
        <v>42</v>
      </c>
      <c r="F112">
        <v>1444.4</v>
      </c>
      <c r="G112">
        <v>0</v>
      </c>
      <c r="H112">
        <v>1138</v>
      </c>
      <c r="I112">
        <v>133.80000000000001</v>
      </c>
      <c r="J112">
        <v>2241.3000000000002</v>
      </c>
      <c r="K112">
        <v>6306.1</v>
      </c>
    </row>
    <row r="113" spans="1:11">
      <c r="A113" t="s">
        <v>11</v>
      </c>
      <c r="B113" t="s">
        <v>12</v>
      </c>
      <c r="C113">
        <v>2060</v>
      </c>
      <c r="D113" t="s">
        <v>43</v>
      </c>
      <c r="E113" t="s">
        <v>44</v>
      </c>
      <c r="F113">
        <v>837575.2</v>
      </c>
      <c r="G113">
        <v>0</v>
      </c>
      <c r="H113">
        <v>1096052.6000000001</v>
      </c>
      <c r="I113">
        <v>703851.8</v>
      </c>
      <c r="J113">
        <v>2022931.4</v>
      </c>
      <c r="K113">
        <v>9053713.0999999996</v>
      </c>
    </row>
    <row r="114" spans="1:11">
      <c r="A114" t="s">
        <v>11</v>
      </c>
      <c r="B114" t="s">
        <v>12</v>
      </c>
      <c r="C114">
        <v>2070</v>
      </c>
      <c r="D114" t="s">
        <v>13</v>
      </c>
      <c r="E114" t="s">
        <v>14</v>
      </c>
      <c r="F114">
        <v>2609.4</v>
      </c>
      <c r="G114">
        <v>0</v>
      </c>
      <c r="H114">
        <v>3293.7</v>
      </c>
      <c r="I114">
        <v>1519.3</v>
      </c>
      <c r="J114">
        <v>6809.5</v>
      </c>
      <c r="K114">
        <v>23306</v>
      </c>
    </row>
    <row r="115" spans="1:11">
      <c r="A115" t="s">
        <v>11</v>
      </c>
      <c r="B115" t="s">
        <v>12</v>
      </c>
      <c r="C115">
        <v>2070</v>
      </c>
      <c r="D115" t="s">
        <v>15</v>
      </c>
      <c r="E115" t="s">
        <v>16</v>
      </c>
      <c r="F115">
        <v>348622.9</v>
      </c>
      <c r="G115">
        <v>0</v>
      </c>
      <c r="H115">
        <v>499108</v>
      </c>
      <c r="I115">
        <v>784.9</v>
      </c>
      <c r="J115">
        <v>899523.2</v>
      </c>
      <c r="K115">
        <v>2753494.2</v>
      </c>
    </row>
    <row r="116" spans="1:11">
      <c r="A116" t="s">
        <v>11</v>
      </c>
      <c r="B116" t="s">
        <v>12</v>
      </c>
      <c r="C116">
        <v>2070</v>
      </c>
      <c r="D116" t="s">
        <v>17</v>
      </c>
      <c r="E116" t="s">
        <v>18</v>
      </c>
      <c r="F116">
        <v>70298.5</v>
      </c>
      <c r="G116">
        <v>0</v>
      </c>
      <c r="H116">
        <v>127756.6</v>
      </c>
      <c r="I116">
        <v>17153.5</v>
      </c>
      <c r="J116">
        <v>240802</v>
      </c>
      <c r="K116">
        <v>857973.1</v>
      </c>
    </row>
    <row r="117" spans="1:11">
      <c r="A117" t="s">
        <v>11</v>
      </c>
      <c r="B117" t="s">
        <v>12</v>
      </c>
      <c r="C117">
        <v>2070</v>
      </c>
      <c r="D117" t="s">
        <v>19</v>
      </c>
      <c r="E117" t="s">
        <v>20</v>
      </c>
      <c r="F117">
        <v>57312.7</v>
      </c>
      <c r="G117">
        <v>0</v>
      </c>
      <c r="H117">
        <v>41877.699999999997</v>
      </c>
      <c r="I117">
        <v>1998.8</v>
      </c>
      <c r="J117">
        <v>73938.600000000006</v>
      </c>
      <c r="K117">
        <v>189946.4</v>
      </c>
    </row>
    <row r="118" spans="1:11">
      <c r="A118" t="s">
        <v>11</v>
      </c>
      <c r="B118" t="s">
        <v>12</v>
      </c>
      <c r="C118">
        <v>2070</v>
      </c>
      <c r="D118" t="s">
        <v>21</v>
      </c>
      <c r="E118" t="s">
        <v>22</v>
      </c>
      <c r="F118">
        <v>98192.2</v>
      </c>
      <c r="G118">
        <v>0</v>
      </c>
      <c r="H118">
        <v>92318.1</v>
      </c>
      <c r="I118">
        <v>7388.9</v>
      </c>
      <c r="J118">
        <v>145818.79999999999</v>
      </c>
      <c r="K118">
        <v>428207.2</v>
      </c>
    </row>
    <row r="119" spans="1:11">
      <c r="A119" t="s">
        <v>11</v>
      </c>
      <c r="B119" t="s">
        <v>12</v>
      </c>
      <c r="C119">
        <v>2070</v>
      </c>
      <c r="D119" t="s">
        <v>23</v>
      </c>
      <c r="E119" t="s">
        <v>24</v>
      </c>
      <c r="F119">
        <v>41183.5</v>
      </c>
      <c r="G119">
        <v>0</v>
      </c>
      <c r="H119">
        <v>55733</v>
      </c>
      <c r="I119">
        <v>2795.7</v>
      </c>
      <c r="J119">
        <v>118594.8</v>
      </c>
      <c r="K119">
        <v>368464.2</v>
      </c>
    </row>
    <row r="120" spans="1:11">
      <c r="A120" t="s">
        <v>11</v>
      </c>
      <c r="B120" t="s">
        <v>12</v>
      </c>
      <c r="C120">
        <v>2070</v>
      </c>
      <c r="D120" t="s">
        <v>25</v>
      </c>
      <c r="E120" t="s">
        <v>26</v>
      </c>
      <c r="F120">
        <v>40862.5</v>
      </c>
      <c r="G120">
        <v>0</v>
      </c>
      <c r="H120">
        <v>62296.4</v>
      </c>
      <c r="I120">
        <v>9396.9</v>
      </c>
      <c r="J120">
        <v>129049</v>
      </c>
      <c r="K120">
        <v>436842.1</v>
      </c>
    </row>
    <row r="121" spans="1:11">
      <c r="A121" t="s">
        <v>11</v>
      </c>
      <c r="B121" t="s">
        <v>12</v>
      </c>
      <c r="C121">
        <v>2070</v>
      </c>
      <c r="D121" t="s">
        <v>27</v>
      </c>
      <c r="E121" t="s">
        <v>28</v>
      </c>
      <c r="F121">
        <v>119696.9</v>
      </c>
      <c r="G121">
        <v>0</v>
      </c>
      <c r="H121">
        <v>64659.4</v>
      </c>
      <c r="I121">
        <v>4792.7</v>
      </c>
      <c r="J121">
        <v>98677.1</v>
      </c>
      <c r="K121">
        <v>227995.6</v>
      </c>
    </row>
    <row r="122" spans="1:11">
      <c r="A122" t="s">
        <v>11</v>
      </c>
      <c r="B122" t="s">
        <v>12</v>
      </c>
      <c r="C122">
        <v>2070</v>
      </c>
      <c r="D122" t="s">
        <v>29</v>
      </c>
      <c r="E122" t="s">
        <v>30</v>
      </c>
      <c r="F122">
        <v>65559.100000000006</v>
      </c>
      <c r="G122">
        <v>0</v>
      </c>
      <c r="H122">
        <v>58141.599999999999</v>
      </c>
      <c r="I122">
        <v>1392.7</v>
      </c>
      <c r="J122">
        <v>101484.8</v>
      </c>
      <c r="K122">
        <v>290933.7</v>
      </c>
    </row>
    <row r="123" spans="1:11">
      <c r="A123" t="s">
        <v>11</v>
      </c>
      <c r="B123" t="s">
        <v>12</v>
      </c>
      <c r="C123">
        <v>2070</v>
      </c>
      <c r="D123" t="s">
        <v>31</v>
      </c>
      <c r="E123" t="s">
        <v>32</v>
      </c>
      <c r="F123">
        <v>9137.2000000000007</v>
      </c>
      <c r="G123">
        <v>0</v>
      </c>
      <c r="H123">
        <v>8798.7000000000007</v>
      </c>
      <c r="I123">
        <v>1794.9</v>
      </c>
      <c r="J123">
        <v>20787.400000000001</v>
      </c>
      <c r="K123">
        <v>69248.600000000006</v>
      </c>
    </row>
    <row r="124" spans="1:11">
      <c r="A124" t="s">
        <v>11</v>
      </c>
      <c r="B124" t="s">
        <v>12</v>
      </c>
      <c r="C124">
        <v>2070</v>
      </c>
      <c r="D124" t="s">
        <v>33</v>
      </c>
      <c r="E124" t="s">
        <v>34</v>
      </c>
      <c r="F124">
        <v>3851.1</v>
      </c>
      <c r="G124">
        <v>0</v>
      </c>
      <c r="H124">
        <v>7776</v>
      </c>
      <c r="I124">
        <v>68448.5</v>
      </c>
      <c r="J124">
        <v>11032.1</v>
      </c>
      <c r="K124">
        <v>796458.6</v>
      </c>
    </row>
    <row r="125" spans="1:11">
      <c r="A125" t="s">
        <v>11</v>
      </c>
      <c r="B125" t="s">
        <v>12</v>
      </c>
      <c r="C125">
        <v>2070</v>
      </c>
      <c r="D125" t="s">
        <v>35</v>
      </c>
      <c r="E125" t="s">
        <v>36</v>
      </c>
      <c r="F125">
        <v>196643</v>
      </c>
      <c r="G125">
        <v>0</v>
      </c>
      <c r="H125">
        <v>380842.9</v>
      </c>
      <c r="I125">
        <v>432601.7</v>
      </c>
      <c r="J125">
        <v>713763.7</v>
      </c>
      <c r="K125">
        <v>4567789.4000000004</v>
      </c>
    </row>
    <row r="126" spans="1:11">
      <c r="A126" t="s">
        <v>11</v>
      </c>
      <c r="B126" t="s">
        <v>12</v>
      </c>
      <c r="C126">
        <v>2070</v>
      </c>
      <c r="D126" t="s">
        <v>37</v>
      </c>
      <c r="E126" t="s">
        <v>38</v>
      </c>
      <c r="F126">
        <v>14236.2</v>
      </c>
      <c r="G126">
        <v>0</v>
      </c>
      <c r="H126">
        <v>35794.300000000003</v>
      </c>
      <c r="I126">
        <v>203312.9</v>
      </c>
      <c r="J126">
        <v>49309.2</v>
      </c>
      <c r="K126">
        <v>703607.3</v>
      </c>
    </row>
    <row r="127" spans="1:11">
      <c r="A127" t="s">
        <v>11</v>
      </c>
      <c r="B127" t="s">
        <v>12</v>
      </c>
      <c r="C127">
        <v>2070</v>
      </c>
      <c r="D127" t="s">
        <v>39</v>
      </c>
      <c r="E127" t="s">
        <v>40</v>
      </c>
      <c r="F127">
        <v>17573.099999999999</v>
      </c>
      <c r="G127">
        <v>0</v>
      </c>
      <c r="H127">
        <v>29977.8</v>
      </c>
      <c r="I127">
        <v>881.5</v>
      </c>
      <c r="J127">
        <v>54682.400000000001</v>
      </c>
      <c r="K127">
        <v>144182</v>
      </c>
    </row>
    <row r="128" spans="1:11">
      <c r="A128" t="s">
        <v>11</v>
      </c>
      <c r="B128" t="s">
        <v>12</v>
      </c>
      <c r="C128">
        <v>2070</v>
      </c>
      <c r="D128" t="s">
        <v>41</v>
      </c>
      <c r="E128" t="s">
        <v>42</v>
      </c>
      <c r="F128">
        <v>1913.1</v>
      </c>
      <c r="G128">
        <v>0</v>
      </c>
      <c r="H128">
        <v>1514.8</v>
      </c>
      <c r="I128">
        <v>120</v>
      </c>
      <c r="J128">
        <v>2988.7</v>
      </c>
      <c r="K128">
        <v>7362.6</v>
      </c>
    </row>
    <row r="129" spans="1:11">
      <c r="A129" t="s">
        <v>11</v>
      </c>
      <c r="B129" t="s">
        <v>12</v>
      </c>
      <c r="C129">
        <v>2070</v>
      </c>
      <c r="D129" t="s">
        <v>43</v>
      </c>
      <c r="E129" t="s">
        <v>44</v>
      </c>
      <c r="F129">
        <v>1087691.3999999999</v>
      </c>
      <c r="G129">
        <v>0</v>
      </c>
      <c r="H129">
        <v>1469889</v>
      </c>
      <c r="I129">
        <v>754382.9</v>
      </c>
      <c r="J129">
        <v>2667261.2999999998</v>
      </c>
      <c r="K129">
        <v>11865811</v>
      </c>
    </row>
    <row r="130" spans="1:11">
      <c r="A130" t="s">
        <v>11</v>
      </c>
      <c r="B130" t="s">
        <v>12</v>
      </c>
      <c r="C130">
        <v>2080</v>
      </c>
      <c r="D130" t="s">
        <v>13</v>
      </c>
      <c r="E130" t="s">
        <v>14</v>
      </c>
      <c r="F130">
        <v>4244.3</v>
      </c>
      <c r="G130">
        <v>0</v>
      </c>
      <c r="H130">
        <v>5261.2</v>
      </c>
      <c r="I130">
        <v>1564.9</v>
      </c>
      <c r="J130">
        <v>10843.6</v>
      </c>
      <c r="K130">
        <v>33645.5</v>
      </c>
    </row>
    <row r="131" spans="1:11">
      <c r="A131" t="s">
        <v>11</v>
      </c>
      <c r="B131" t="s">
        <v>12</v>
      </c>
      <c r="C131">
        <v>2080</v>
      </c>
      <c r="D131" t="s">
        <v>15</v>
      </c>
      <c r="E131" t="s">
        <v>16</v>
      </c>
      <c r="F131">
        <v>382915.3</v>
      </c>
      <c r="G131">
        <v>0</v>
      </c>
      <c r="H131">
        <v>550746.9</v>
      </c>
      <c r="I131">
        <v>760.3</v>
      </c>
      <c r="J131">
        <v>980188.4</v>
      </c>
      <c r="K131">
        <v>2814032.3</v>
      </c>
    </row>
    <row r="132" spans="1:11">
      <c r="A132" t="s">
        <v>11</v>
      </c>
      <c r="B132" t="s">
        <v>12</v>
      </c>
      <c r="C132">
        <v>2080</v>
      </c>
      <c r="D132" t="s">
        <v>17</v>
      </c>
      <c r="E132" t="s">
        <v>18</v>
      </c>
      <c r="F132">
        <v>93859.9</v>
      </c>
      <c r="G132">
        <v>0</v>
      </c>
      <c r="H132">
        <v>170833.3</v>
      </c>
      <c r="I132">
        <v>15405.8</v>
      </c>
      <c r="J132">
        <v>317045.09999999998</v>
      </c>
      <c r="K132">
        <v>1049700.5</v>
      </c>
    </row>
    <row r="133" spans="1:11">
      <c r="A133" t="s">
        <v>11</v>
      </c>
      <c r="B133" t="s">
        <v>12</v>
      </c>
      <c r="C133">
        <v>2080</v>
      </c>
      <c r="D133" t="s">
        <v>19</v>
      </c>
      <c r="E133" t="s">
        <v>20</v>
      </c>
      <c r="F133">
        <v>66649.3</v>
      </c>
      <c r="G133">
        <v>0</v>
      </c>
      <c r="H133">
        <v>48382.2</v>
      </c>
      <c r="I133">
        <v>1185.8</v>
      </c>
      <c r="J133">
        <v>84916.9</v>
      </c>
      <c r="K133">
        <v>190937.1</v>
      </c>
    </row>
    <row r="134" spans="1:11">
      <c r="A134" t="s">
        <v>11</v>
      </c>
      <c r="B134" t="s">
        <v>12</v>
      </c>
      <c r="C134">
        <v>2080</v>
      </c>
      <c r="D134" t="s">
        <v>21</v>
      </c>
      <c r="E134" t="s">
        <v>22</v>
      </c>
      <c r="F134">
        <v>163972.29999999999</v>
      </c>
      <c r="G134">
        <v>0</v>
      </c>
      <c r="H134">
        <v>151653</v>
      </c>
      <c r="I134">
        <v>6299.4</v>
      </c>
      <c r="J134">
        <v>235176.1</v>
      </c>
      <c r="K134">
        <v>627930.30000000005</v>
      </c>
    </row>
    <row r="135" spans="1:11">
      <c r="A135" t="s">
        <v>11</v>
      </c>
      <c r="B135" t="s">
        <v>12</v>
      </c>
      <c r="C135">
        <v>2080</v>
      </c>
      <c r="D135" t="s">
        <v>23</v>
      </c>
      <c r="E135" t="s">
        <v>24</v>
      </c>
      <c r="F135">
        <v>47697.3</v>
      </c>
      <c r="G135">
        <v>0</v>
      </c>
      <c r="H135">
        <v>65207.199999999997</v>
      </c>
      <c r="I135">
        <v>2073</v>
      </c>
      <c r="J135">
        <v>137212.20000000001</v>
      </c>
      <c r="K135">
        <v>394064.3</v>
      </c>
    </row>
    <row r="136" spans="1:11">
      <c r="A136" t="s">
        <v>11</v>
      </c>
      <c r="B136" t="s">
        <v>12</v>
      </c>
      <c r="C136">
        <v>2080</v>
      </c>
      <c r="D136" t="s">
        <v>25</v>
      </c>
      <c r="E136" t="s">
        <v>26</v>
      </c>
      <c r="F136">
        <v>55113.8</v>
      </c>
      <c r="G136">
        <v>0</v>
      </c>
      <c r="H136">
        <v>85064.1</v>
      </c>
      <c r="I136">
        <v>7620.8</v>
      </c>
      <c r="J136">
        <v>173876.4</v>
      </c>
      <c r="K136">
        <v>544394</v>
      </c>
    </row>
    <row r="137" spans="1:11">
      <c r="A137" t="s">
        <v>11</v>
      </c>
      <c r="B137" t="s">
        <v>12</v>
      </c>
      <c r="C137">
        <v>2080</v>
      </c>
      <c r="D137" t="s">
        <v>27</v>
      </c>
      <c r="E137" t="s">
        <v>28</v>
      </c>
      <c r="F137">
        <v>148817.5</v>
      </c>
      <c r="G137">
        <v>0</v>
      </c>
      <c r="H137">
        <v>80470</v>
      </c>
      <c r="I137">
        <v>3446.3</v>
      </c>
      <c r="J137">
        <v>121385.2</v>
      </c>
      <c r="K137">
        <v>264803.59999999998</v>
      </c>
    </row>
    <row r="138" spans="1:11">
      <c r="A138" t="s">
        <v>11</v>
      </c>
      <c r="B138" t="s">
        <v>12</v>
      </c>
      <c r="C138">
        <v>2080</v>
      </c>
      <c r="D138" t="s">
        <v>29</v>
      </c>
      <c r="E138" t="s">
        <v>30</v>
      </c>
      <c r="F138">
        <v>67502.3</v>
      </c>
      <c r="G138">
        <v>0</v>
      </c>
      <c r="H138">
        <v>60061.2</v>
      </c>
      <c r="I138">
        <v>794</v>
      </c>
      <c r="J138">
        <v>103819.2</v>
      </c>
      <c r="K138">
        <v>267019.09999999998</v>
      </c>
    </row>
    <row r="139" spans="1:11">
      <c r="A139" t="s">
        <v>11</v>
      </c>
      <c r="B139" t="s">
        <v>12</v>
      </c>
      <c r="C139">
        <v>2080</v>
      </c>
      <c r="D139" t="s">
        <v>31</v>
      </c>
      <c r="E139" t="s">
        <v>32</v>
      </c>
      <c r="F139">
        <v>12317.1</v>
      </c>
      <c r="G139">
        <v>0</v>
      </c>
      <c r="H139">
        <v>11864.4</v>
      </c>
      <c r="I139">
        <v>1717.3</v>
      </c>
      <c r="J139">
        <v>28111.8</v>
      </c>
      <c r="K139">
        <v>85981.7</v>
      </c>
    </row>
    <row r="140" spans="1:11">
      <c r="A140" t="s">
        <v>11</v>
      </c>
      <c r="B140" t="s">
        <v>12</v>
      </c>
      <c r="C140">
        <v>2080</v>
      </c>
      <c r="D140" t="s">
        <v>33</v>
      </c>
      <c r="E140" t="s">
        <v>34</v>
      </c>
      <c r="F140">
        <v>6784.5</v>
      </c>
      <c r="G140">
        <v>0</v>
      </c>
      <c r="H140">
        <v>12652.2</v>
      </c>
      <c r="I140">
        <v>80363.5</v>
      </c>
      <c r="J140">
        <v>19014.099999999999</v>
      </c>
      <c r="K140">
        <v>1158697.8</v>
      </c>
    </row>
    <row r="141" spans="1:11">
      <c r="A141" t="s">
        <v>11</v>
      </c>
      <c r="B141" t="s">
        <v>12</v>
      </c>
      <c r="C141">
        <v>2080</v>
      </c>
      <c r="D141" t="s">
        <v>35</v>
      </c>
      <c r="E141" t="s">
        <v>36</v>
      </c>
      <c r="F141">
        <v>269959.2</v>
      </c>
      <c r="G141">
        <v>0</v>
      </c>
      <c r="H141">
        <v>508843.2</v>
      </c>
      <c r="I141">
        <v>436980.7</v>
      </c>
      <c r="J141">
        <v>917351.5</v>
      </c>
      <c r="K141">
        <v>6195457.7999999998</v>
      </c>
    </row>
    <row r="142" spans="1:11">
      <c r="A142" t="s">
        <v>11</v>
      </c>
      <c r="B142" t="s">
        <v>12</v>
      </c>
      <c r="C142">
        <v>2080</v>
      </c>
      <c r="D142" t="s">
        <v>37</v>
      </c>
      <c r="E142" t="s">
        <v>38</v>
      </c>
      <c r="F142">
        <v>19085.5</v>
      </c>
      <c r="G142">
        <v>0</v>
      </c>
      <c r="H142">
        <v>44623.5</v>
      </c>
      <c r="I142">
        <v>117994.2</v>
      </c>
      <c r="J142">
        <v>64934.3</v>
      </c>
      <c r="K142">
        <v>580540.19999999995</v>
      </c>
    </row>
    <row r="143" spans="1:11">
      <c r="A143" t="s">
        <v>11</v>
      </c>
      <c r="B143" t="s">
        <v>12</v>
      </c>
      <c r="C143">
        <v>2080</v>
      </c>
      <c r="D143" t="s">
        <v>39</v>
      </c>
      <c r="E143" t="s">
        <v>40</v>
      </c>
      <c r="F143">
        <v>23484.2</v>
      </c>
      <c r="G143">
        <v>0</v>
      </c>
      <c r="H143">
        <v>40150.9</v>
      </c>
      <c r="I143">
        <v>741.9</v>
      </c>
      <c r="J143">
        <v>72290.399999999994</v>
      </c>
      <c r="K143">
        <v>176085.8</v>
      </c>
    </row>
    <row r="144" spans="1:11">
      <c r="A144" t="s">
        <v>11</v>
      </c>
      <c r="B144" t="s">
        <v>12</v>
      </c>
      <c r="C144">
        <v>2080</v>
      </c>
      <c r="D144" t="s">
        <v>41</v>
      </c>
      <c r="E144" t="s">
        <v>42</v>
      </c>
      <c r="F144">
        <v>2262.6</v>
      </c>
      <c r="G144">
        <v>0</v>
      </c>
      <c r="H144">
        <v>1801.5</v>
      </c>
      <c r="I144">
        <v>89.3</v>
      </c>
      <c r="J144">
        <v>3561.9</v>
      </c>
      <c r="K144">
        <v>7773</v>
      </c>
    </row>
    <row r="145" spans="1:11">
      <c r="A145" t="s">
        <v>11</v>
      </c>
      <c r="B145" t="s">
        <v>12</v>
      </c>
      <c r="C145">
        <v>2080</v>
      </c>
      <c r="D145" t="s">
        <v>43</v>
      </c>
      <c r="E145" t="s">
        <v>44</v>
      </c>
      <c r="F145">
        <v>1364665.1</v>
      </c>
      <c r="G145">
        <v>0</v>
      </c>
      <c r="H145">
        <v>1837614.8</v>
      </c>
      <c r="I145">
        <v>677037.2</v>
      </c>
      <c r="J145">
        <v>3269727.1</v>
      </c>
      <c r="K145">
        <v>14391063</v>
      </c>
    </row>
    <row r="146" spans="1:11">
      <c r="A146" t="s">
        <v>11</v>
      </c>
      <c r="B146" t="s">
        <v>12</v>
      </c>
      <c r="C146">
        <v>2090</v>
      </c>
      <c r="D146" t="s">
        <v>13</v>
      </c>
      <c r="E146" t="s">
        <v>14</v>
      </c>
      <c r="F146">
        <v>6316.7</v>
      </c>
      <c r="G146">
        <v>0</v>
      </c>
      <c r="H146">
        <v>7640.7</v>
      </c>
      <c r="I146">
        <v>1362.3</v>
      </c>
      <c r="J146">
        <v>15587.2</v>
      </c>
      <c r="K146">
        <v>43321.7</v>
      </c>
    </row>
    <row r="147" spans="1:11">
      <c r="A147" t="s">
        <v>11</v>
      </c>
      <c r="B147" t="s">
        <v>12</v>
      </c>
      <c r="C147">
        <v>2090</v>
      </c>
      <c r="D147" t="s">
        <v>15</v>
      </c>
      <c r="E147" t="s">
        <v>16</v>
      </c>
      <c r="F147">
        <v>409302.4</v>
      </c>
      <c r="G147">
        <v>0</v>
      </c>
      <c r="H147">
        <v>590325.5</v>
      </c>
      <c r="I147">
        <v>711.7</v>
      </c>
      <c r="J147">
        <v>1044746.1</v>
      </c>
      <c r="K147">
        <v>2638114.6</v>
      </c>
    </row>
    <row r="148" spans="1:11">
      <c r="A148" t="s">
        <v>11</v>
      </c>
      <c r="B148" t="s">
        <v>12</v>
      </c>
      <c r="C148">
        <v>2090</v>
      </c>
      <c r="D148" t="s">
        <v>17</v>
      </c>
      <c r="E148" t="s">
        <v>18</v>
      </c>
      <c r="F148">
        <v>119060.1</v>
      </c>
      <c r="G148">
        <v>0</v>
      </c>
      <c r="H148">
        <v>216479.9</v>
      </c>
      <c r="I148">
        <v>13577.4</v>
      </c>
      <c r="J148">
        <v>395408.9</v>
      </c>
      <c r="K148">
        <v>1213933.2</v>
      </c>
    </row>
    <row r="149" spans="1:11">
      <c r="A149" t="s">
        <v>11</v>
      </c>
      <c r="B149" t="s">
        <v>12</v>
      </c>
      <c r="C149">
        <v>2090</v>
      </c>
      <c r="D149" t="s">
        <v>19</v>
      </c>
      <c r="E149" t="s">
        <v>20</v>
      </c>
      <c r="F149">
        <v>79336.3</v>
      </c>
      <c r="G149">
        <v>0</v>
      </c>
      <c r="H149">
        <v>57248.6</v>
      </c>
      <c r="I149">
        <v>657.6</v>
      </c>
      <c r="J149">
        <v>99997.1</v>
      </c>
      <c r="K149">
        <v>188204.6</v>
      </c>
    </row>
    <row r="150" spans="1:11">
      <c r="A150" t="s">
        <v>11</v>
      </c>
      <c r="B150" t="s">
        <v>12</v>
      </c>
      <c r="C150">
        <v>2090</v>
      </c>
      <c r="D150" t="s">
        <v>21</v>
      </c>
      <c r="E150" t="s">
        <v>22</v>
      </c>
      <c r="F150">
        <v>250337.1</v>
      </c>
      <c r="G150">
        <v>0</v>
      </c>
      <c r="H150">
        <v>229025</v>
      </c>
      <c r="I150">
        <v>5035.5</v>
      </c>
      <c r="J150">
        <v>350123.8</v>
      </c>
      <c r="K150">
        <v>853749.7</v>
      </c>
    </row>
    <row r="151" spans="1:11">
      <c r="A151" t="s">
        <v>11</v>
      </c>
      <c r="B151" t="s">
        <v>12</v>
      </c>
      <c r="C151">
        <v>2090</v>
      </c>
      <c r="D151" t="s">
        <v>23</v>
      </c>
      <c r="E151" t="s">
        <v>24</v>
      </c>
      <c r="F151">
        <v>64324</v>
      </c>
      <c r="G151">
        <v>0</v>
      </c>
      <c r="H151">
        <v>89073.4</v>
      </c>
      <c r="I151">
        <v>1672.9</v>
      </c>
      <c r="J151">
        <v>184441.4</v>
      </c>
      <c r="K151">
        <v>473292</v>
      </c>
    </row>
    <row r="152" spans="1:11">
      <c r="A152" t="s">
        <v>11</v>
      </c>
      <c r="B152" t="s">
        <v>12</v>
      </c>
      <c r="C152">
        <v>2090</v>
      </c>
      <c r="D152" t="s">
        <v>25</v>
      </c>
      <c r="E152" t="s">
        <v>26</v>
      </c>
      <c r="F152">
        <v>85585.2</v>
      </c>
      <c r="G152">
        <v>0</v>
      </c>
      <c r="H152">
        <v>133192</v>
      </c>
      <c r="I152">
        <v>6183.3</v>
      </c>
      <c r="J152">
        <v>265862.5</v>
      </c>
      <c r="K152">
        <v>759701.4</v>
      </c>
    </row>
    <row r="153" spans="1:11">
      <c r="A153" t="s">
        <v>11</v>
      </c>
      <c r="B153" t="s">
        <v>12</v>
      </c>
      <c r="C153">
        <v>2090</v>
      </c>
      <c r="D153" t="s">
        <v>27</v>
      </c>
      <c r="E153" t="s">
        <v>28</v>
      </c>
      <c r="F153">
        <v>178506.6</v>
      </c>
      <c r="G153">
        <v>0</v>
      </c>
      <c r="H153">
        <v>96351.2</v>
      </c>
      <c r="I153">
        <v>2312.1999999999998</v>
      </c>
      <c r="J153">
        <v>144299.1</v>
      </c>
      <c r="K153">
        <v>285321.5</v>
      </c>
    </row>
    <row r="154" spans="1:11">
      <c r="A154" t="s">
        <v>11</v>
      </c>
      <c r="B154" t="s">
        <v>12</v>
      </c>
      <c r="C154">
        <v>2090</v>
      </c>
      <c r="D154" t="s">
        <v>29</v>
      </c>
      <c r="E154" t="s">
        <v>30</v>
      </c>
      <c r="F154">
        <v>76164.5</v>
      </c>
      <c r="G154">
        <v>0</v>
      </c>
      <c r="H154">
        <v>67677</v>
      </c>
      <c r="I154">
        <v>520</v>
      </c>
      <c r="J154">
        <v>116915.3</v>
      </c>
      <c r="K154">
        <v>274471.2</v>
      </c>
    </row>
    <row r="155" spans="1:11">
      <c r="A155" t="s">
        <v>11</v>
      </c>
      <c r="B155" t="s">
        <v>12</v>
      </c>
      <c r="C155">
        <v>2090</v>
      </c>
      <c r="D155" t="s">
        <v>31</v>
      </c>
      <c r="E155" t="s">
        <v>32</v>
      </c>
      <c r="F155">
        <v>14173.9</v>
      </c>
      <c r="G155">
        <v>0</v>
      </c>
      <c r="H155">
        <v>13629.5</v>
      </c>
      <c r="I155">
        <v>1403.4</v>
      </c>
      <c r="J155">
        <v>32151</v>
      </c>
      <c r="K155">
        <v>85731.199999999997</v>
      </c>
    </row>
    <row r="156" spans="1:11">
      <c r="A156" t="s">
        <v>11</v>
      </c>
      <c r="B156" t="s">
        <v>12</v>
      </c>
      <c r="C156">
        <v>2090</v>
      </c>
      <c r="D156" t="s">
        <v>33</v>
      </c>
      <c r="E156" t="s">
        <v>34</v>
      </c>
      <c r="F156">
        <v>11194.7</v>
      </c>
      <c r="G156">
        <v>0</v>
      </c>
      <c r="H156">
        <v>19763.599999999999</v>
      </c>
      <c r="I156">
        <v>85469.5</v>
      </c>
      <c r="J156">
        <v>30593.5</v>
      </c>
      <c r="K156">
        <v>1453145.9</v>
      </c>
    </row>
    <row r="157" spans="1:11">
      <c r="A157" t="s">
        <v>11</v>
      </c>
      <c r="B157" t="s">
        <v>12</v>
      </c>
      <c r="C157">
        <v>2090</v>
      </c>
      <c r="D157" t="s">
        <v>35</v>
      </c>
      <c r="E157" t="s">
        <v>36</v>
      </c>
      <c r="F157">
        <v>357656.7</v>
      </c>
      <c r="G157">
        <v>0</v>
      </c>
      <c r="H157">
        <v>664835.19999999995</v>
      </c>
      <c r="I157">
        <v>418860.7</v>
      </c>
      <c r="J157">
        <v>1168789.8</v>
      </c>
      <c r="K157">
        <v>7631062</v>
      </c>
    </row>
    <row r="158" spans="1:11">
      <c r="A158" t="s">
        <v>11</v>
      </c>
      <c r="B158" t="s">
        <v>12</v>
      </c>
      <c r="C158">
        <v>2090</v>
      </c>
      <c r="D158" t="s">
        <v>37</v>
      </c>
      <c r="E158" t="s">
        <v>38</v>
      </c>
      <c r="F158">
        <v>34157.199999999997</v>
      </c>
      <c r="G158">
        <v>0</v>
      </c>
      <c r="H158">
        <v>75098.100000000006</v>
      </c>
      <c r="I158">
        <v>137262.20000000001</v>
      </c>
      <c r="J158">
        <v>113908.6</v>
      </c>
      <c r="K158">
        <v>914220.1</v>
      </c>
    </row>
    <row r="159" spans="1:11">
      <c r="A159" t="s">
        <v>11</v>
      </c>
      <c r="B159" t="s">
        <v>12</v>
      </c>
      <c r="C159">
        <v>2090</v>
      </c>
      <c r="D159" t="s">
        <v>39</v>
      </c>
      <c r="E159" t="s">
        <v>40</v>
      </c>
      <c r="F159">
        <v>27318.7</v>
      </c>
      <c r="G159">
        <v>0</v>
      </c>
      <c r="H159">
        <v>46951.8</v>
      </c>
      <c r="I159">
        <v>628.4</v>
      </c>
      <c r="J159">
        <v>83621.8</v>
      </c>
      <c r="K159">
        <v>187210.3</v>
      </c>
    </row>
    <row r="160" spans="1:11">
      <c r="A160" t="s">
        <v>11</v>
      </c>
      <c r="B160" t="s">
        <v>12</v>
      </c>
      <c r="C160">
        <v>2090</v>
      </c>
      <c r="D160" t="s">
        <v>41</v>
      </c>
      <c r="E160" t="s">
        <v>42</v>
      </c>
      <c r="F160">
        <v>2840.3</v>
      </c>
      <c r="G160">
        <v>0</v>
      </c>
      <c r="H160">
        <v>2259.4</v>
      </c>
      <c r="I160">
        <v>62</v>
      </c>
      <c r="J160">
        <v>4483.2</v>
      </c>
      <c r="K160">
        <v>8354.2000000000007</v>
      </c>
    </row>
    <row r="161" spans="1:11">
      <c r="A161" t="s">
        <v>11</v>
      </c>
      <c r="B161" t="s">
        <v>12</v>
      </c>
      <c r="C161">
        <v>2090</v>
      </c>
      <c r="D161" t="s">
        <v>43</v>
      </c>
      <c r="E161" t="s">
        <v>44</v>
      </c>
      <c r="F161">
        <v>1716274.4</v>
      </c>
      <c r="G161">
        <v>0</v>
      </c>
      <c r="H161">
        <v>2309550.9</v>
      </c>
      <c r="I161">
        <v>675719.1</v>
      </c>
      <c r="J161">
        <v>4050929.3</v>
      </c>
      <c r="K161">
        <v>17009833.600000001</v>
      </c>
    </row>
    <row r="162" spans="1:11">
      <c r="A162" t="s">
        <v>11</v>
      </c>
      <c r="B162" t="s">
        <v>12</v>
      </c>
      <c r="C162">
        <v>2100</v>
      </c>
      <c r="D162" t="s">
        <v>13</v>
      </c>
      <c r="E162" t="s">
        <v>14</v>
      </c>
      <c r="F162">
        <v>9699</v>
      </c>
      <c r="G162">
        <v>0</v>
      </c>
      <c r="H162">
        <v>11669</v>
      </c>
      <c r="I162">
        <v>1148</v>
      </c>
      <c r="J162">
        <v>23339</v>
      </c>
      <c r="K162">
        <v>67444</v>
      </c>
    </row>
    <row r="163" spans="1:11">
      <c r="A163" t="s">
        <v>11</v>
      </c>
      <c r="B163" t="s">
        <v>12</v>
      </c>
      <c r="C163">
        <v>2100</v>
      </c>
      <c r="D163" t="s">
        <v>15</v>
      </c>
      <c r="E163" t="s">
        <v>16</v>
      </c>
      <c r="F163">
        <v>454203</v>
      </c>
      <c r="G163">
        <v>0</v>
      </c>
      <c r="H163">
        <v>659888</v>
      </c>
      <c r="I163">
        <v>547</v>
      </c>
      <c r="J163">
        <v>1144838</v>
      </c>
      <c r="K163">
        <v>2971572</v>
      </c>
    </row>
    <row r="164" spans="1:11">
      <c r="A164" t="s">
        <v>11</v>
      </c>
      <c r="B164" t="s">
        <v>12</v>
      </c>
      <c r="C164">
        <v>2100</v>
      </c>
      <c r="D164" t="s">
        <v>17</v>
      </c>
      <c r="E164" t="s">
        <v>18</v>
      </c>
      <c r="F164">
        <v>148387</v>
      </c>
      <c r="G164">
        <v>0</v>
      </c>
      <c r="H164">
        <v>269307</v>
      </c>
      <c r="I164">
        <v>11207</v>
      </c>
      <c r="J164">
        <v>480890</v>
      </c>
      <c r="K164">
        <v>1534616</v>
      </c>
    </row>
    <row r="165" spans="1:11">
      <c r="A165" t="s">
        <v>11</v>
      </c>
      <c r="B165" t="s">
        <v>12</v>
      </c>
      <c r="C165">
        <v>2100</v>
      </c>
      <c r="D165" t="s">
        <v>19</v>
      </c>
      <c r="E165" t="s">
        <v>20</v>
      </c>
      <c r="F165">
        <v>93597</v>
      </c>
      <c r="G165">
        <v>0</v>
      </c>
      <c r="H165">
        <v>68038</v>
      </c>
      <c r="I165">
        <v>399</v>
      </c>
      <c r="J165">
        <v>118145</v>
      </c>
      <c r="K165">
        <v>221186</v>
      </c>
    </row>
    <row r="166" spans="1:11">
      <c r="A166" t="s">
        <v>11</v>
      </c>
      <c r="B166" t="s">
        <v>12</v>
      </c>
      <c r="C166">
        <v>2100</v>
      </c>
      <c r="D166" t="s">
        <v>21</v>
      </c>
      <c r="E166" t="s">
        <v>22</v>
      </c>
      <c r="F166">
        <v>330879</v>
      </c>
      <c r="G166">
        <v>0</v>
      </c>
      <c r="H166">
        <v>302883</v>
      </c>
      <c r="I166">
        <v>3667</v>
      </c>
      <c r="J166">
        <v>458320</v>
      </c>
      <c r="K166">
        <v>1123235</v>
      </c>
    </row>
    <row r="167" spans="1:11">
      <c r="A167" t="s">
        <v>11</v>
      </c>
      <c r="B167" t="s">
        <v>12</v>
      </c>
      <c r="C167">
        <v>2100</v>
      </c>
      <c r="D167" t="s">
        <v>23</v>
      </c>
      <c r="E167" t="s">
        <v>24</v>
      </c>
      <c r="F167">
        <v>89489</v>
      </c>
      <c r="G167">
        <v>0</v>
      </c>
      <c r="H167">
        <v>126459</v>
      </c>
      <c r="I167">
        <v>1337</v>
      </c>
      <c r="J167">
        <v>256648.00000000003</v>
      </c>
      <c r="K167">
        <v>693784</v>
      </c>
    </row>
    <row r="168" spans="1:11">
      <c r="A168" t="s">
        <v>11</v>
      </c>
      <c r="B168" t="s">
        <v>12</v>
      </c>
      <c r="C168">
        <v>2100</v>
      </c>
      <c r="D168" t="s">
        <v>25</v>
      </c>
      <c r="E168" t="s">
        <v>26</v>
      </c>
      <c r="F168">
        <v>131775</v>
      </c>
      <c r="G168">
        <v>0</v>
      </c>
      <c r="H168">
        <v>208041</v>
      </c>
      <c r="I168">
        <v>4924</v>
      </c>
      <c r="J168">
        <v>401538</v>
      </c>
      <c r="K168">
        <v>1241178</v>
      </c>
    </row>
    <row r="169" spans="1:11">
      <c r="A169" t="s">
        <v>11</v>
      </c>
      <c r="B169" t="s">
        <v>12</v>
      </c>
      <c r="C169">
        <v>2100</v>
      </c>
      <c r="D169" t="s">
        <v>27</v>
      </c>
      <c r="E169" t="s">
        <v>28</v>
      </c>
      <c r="F169">
        <v>210568</v>
      </c>
      <c r="G169">
        <v>0</v>
      </c>
      <c r="H169">
        <v>113276</v>
      </c>
      <c r="I169">
        <v>1551</v>
      </c>
      <c r="J169">
        <v>168902</v>
      </c>
      <c r="K169">
        <v>342649</v>
      </c>
    </row>
    <row r="170" spans="1:11">
      <c r="A170" t="s">
        <v>11</v>
      </c>
      <c r="B170" t="s">
        <v>12</v>
      </c>
      <c r="C170">
        <v>2100</v>
      </c>
      <c r="D170" t="s">
        <v>29</v>
      </c>
      <c r="E170" t="s">
        <v>30</v>
      </c>
      <c r="F170">
        <v>82919</v>
      </c>
      <c r="G170">
        <v>0</v>
      </c>
      <c r="H170">
        <v>72996</v>
      </c>
      <c r="I170">
        <v>359</v>
      </c>
      <c r="J170">
        <v>127231</v>
      </c>
      <c r="K170">
        <v>292637</v>
      </c>
    </row>
    <row r="171" spans="1:11">
      <c r="A171" t="s">
        <v>11</v>
      </c>
      <c r="B171" t="s">
        <v>12</v>
      </c>
      <c r="C171">
        <v>2100</v>
      </c>
      <c r="D171" t="s">
        <v>31</v>
      </c>
      <c r="E171" t="s">
        <v>32</v>
      </c>
      <c r="F171">
        <v>19147</v>
      </c>
      <c r="G171">
        <v>0</v>
      </c>
      <c r="H171">
        <v>18410</v>
      </c>
      <c r="I171">
        <v>1146</v>
      </c>
      <c r="J171">
        <v>43064</v>
      </c>
      <c r="K171">
        <v>116829</v>
      </c>
    </row>
    <row r="172" spans="1:11">
      <c r="A172" t="s">
        <v>11</v>
      </c>
      <c r="B172" t="s">
        <v>12</v>
      </c>
      <c r="C172">
        <v>2100</v>
      </c>
      <c r="D172" t="s">
        <v>33</v>
      </c>
      <c r="E172" t="s">
        <v>34</v>
      </c>
      <c r="F172">
        <v>19751</v>
      </c>
      <c r="G172">
        <v>0</v>
      </c>
      <c r="H172">
        <v>33660</v>
      </c>
      <c r="I172">
        <v>50147</v>
      </c>
      <c r="J172">
        <v>52947</v>
      </c>
      <c r="K172">
        <v>1230473</v>
      </c>
    </row>
    <row r="173" spans="1:11">
      <c r="A173" t="s">
        <v>11</v>
      </c>
      <c r="B173" t="s">
        <v>12</v>
      </c>
      <c r="C173">
        <v>2100</v>
      </c>
      <c r="D173" t="s">
        <v>35</v>
      </c>
      <c r="E173" t="s">
        <v>36</v>
      </c>
      <c r="F173">
        <v>462333</v>
      </c>
      <c r="G173">
        <v>0</v>
      </c>
      <c r="H173">
        <v>842267</v>
      </c>
      <c r="I173">
        <v>358747</v>
      </c>
      <c r="J173">
        <v>1454939</v>
      </c>
      <c r="K173">
        <v>9662639</v>
      </c>
    </row>
    <row r="174" spans="1:11">
      <c r="A174" t="s">
        <v>11</v>
      </c>
      <c r="B174" t="s">
        <v>12</v>
      </c>
      <c r="C174">
        <v>2100</v>
      </c>
      <c r="D174" t="s">
        <v>37</v>
      </c>
      <c r="E174" t="s">
        <v>38</v>
      </c>
      <c r="F174">
        <v>63710</v>
      </c>
      <c r="G174">
        <v>0</v>
      </c>
      <c r="H174">
        <v>134320</v>
      </c>
      <c r="I174">
        <v>105433</v>
      </c>
      <c r="J174">
        <v>208803</v>
      </c>
      <c r="K174">
        <v>1317262</v>
      </c>
    </row>
    <row r="175" spans="1:11">
      <c r="A175" t="s">
        <v>11</v>
      </c>
      <c r="B175" t="s">
        <v>12</v>
      </c>
      <c r="C175">
        <v>2100</v>
      </c>
      <c r="D175" t="s">
        <v>39</v>
      </c>
      <c r="E175" t="s">
        <v>40</v>
      </c>
      <c r="F175">
        <v>31890</v>
      </c>
      <c r="G175">
        <v>0</v>
      </c>
      <c r="H175">
        <v>54717</v>
      </c>
      <c r="I175">
        <v>466</v>
      </c>
      <c r="J175">
        <v>96161</v>
      </c>
      <c r="K175">
        <v>219229</v>
      </c>
    </row>
    <row r="176" spans="1:11">
      <c r="A176" t="s">
        <v>11</v>
      </c>
      <c r="B176" t="s">
        <v>12</v>
      </c>
      <c r="C176">
        <v>2100</v>
      </c>
      <c r="D176" t="s">
        <v>41</v>
      </c>
      <c r="E176" t="s">
        <v>42</v>
      </c>
      <c r="F176">
        <v>3665</v>
      </c>
      <c r="G176">
        <v>0</v>
      </c>
      <c r="H176">
        <v>2908</v>
      </c>
      <c r="I176">
        <v>43</v>
      </c>
      <c r="J176">
        <v>5790</v>
      </c>
      <c r="K176">
        <v>10491</v>
      </c>
    </row>
    <row r="177" spans="1:11">
      <c r="A177" t="s">
        <v>11</v>
      </c>
      <c r="B177" t="s">
        <v>12</v>
      </c>
      <c r="C177">
        <v>2100</v>
      </c>
      <c r="D177" t="s">
        <v>43</v>
      </c>
      <c r="E177" t="s">
        <v>44</v>
      </c>
      <c r="F177">
        <v>2152012</v>
      </c>
      <c r="G177">
        <v>0</v>
      </c>
      <c r="H177">
        <v>2918839</v>
      </c>
      <c r="I177">
        <v>541121</v>
      </c>
      <c r="J177">
        <v>5041555</v>
      </c>
      <c r="K177">
        <v>21045224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0FE8-1211-5644-A216-A7DEBDD31E69}">
  <dimension ref="A1:Q49"/>
  <sheetViews>
    <sheetView tabSelected="1" topLeftCell="A19" workbookViewId="0">
      <selection activeCell="L34" sqref="L34:Q49"/>
    </sheetView>
  </sheetViews>
  <sheetFormatPr baseColWidth="10" defaultRowHeight="16"/>
  <cols>
    <col min="12" max="17" width="9" customWidth="1"/>
    <col min="18" max="18" width="44.83203125" customWidth="1"/>
  </cols>
  <sheetData>
    <row r="1" spans="1:17">
      <c r="A1" t="s">
        <v>2</v>
      </c>
      <c r="B1" t="s">
        <v>3</v>
      </c>
      <c r="C1" t="s">
        <v>4</v>
      </c>
      <c r="D1" s="2" t="s">
        <v>46</v>
      </c>
      <c r="E1" s="4" t="s">
        <v>47</v>
      </c>
      <c r="F1" s="4" t="s">
        <v>48</v>
      </c>
      <c r="G1" s="6" t="s">
        <v>49</v>
      </c>
      <c r="H1" s="6" t="s">
        <v>50</v>
      </c>
      <c r="I1" s="8" t="s">
        <v>51</v>
      </c>
      <c r="J1" s="8" t="s">
        <v>52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</row>
    <row r="2" spans="1:17">
      <c r="A2" s="1">
        <v>2035</v>
      </c>
      <c r="B2" t="s">
        <v>13</v>
      </c>
      <c r="C2" t="s">
        <v>14</v>
      </c>
      <c r="D2" s="3">
        <v>0.56699999999999995</v>
      </c>
      <c r="E2" s="5">
        <v>0.94899999999999995</v>
      </c>
      <c r="F2" s="5">
        <v>1.89</v>
      </c>
      <c r="G2" s="7">
        <v>0.91200000000000003</v>
      </c>
      <c r="H2" s="7">
        <v>8.9369999999999994</v>
      </c>
      <c r="I2" s="9">
        <v>4.0000000000000001E-3</v>
      </c>
      <c r="J2" s="9">
        <v>7.1999999999999995E-2</v>
      </c>
      <c r="L2">
        <f>D2*1000</f>
        <v>567</v>
      </c>
      <c r="M2">
        <v>0</v>
      </c>
      <c r="N2">
        <f>1000*E2</f>
        <v>949</v>
      </c>
      <c r="O2">
        <f>1000*(G2+I2)</f>
        <v>916</v>
      </c>
      <c r="P2">
        <f>1000*F2</f>
        <v>1890</v>
      </c>
      <c r="Q2">
        <f>1000*(H2+J2)</f>
        <v>9008.9999999999982</v>
      </c>
    </row>
    <row r="3" spans="1:17">
      <c r="A3" s="1">
        <v>2035</v>
      </c>
      <c r="B3" t="s">
        <v>15</v>
      </c>
      <c r="C3" t="s">
        <v>16</v>
      </c>
      <c r="D3" s="3">
        <v>86.766999999999996</v>
      </c>
      <c r="E3" s="5">
        <v>119.771</v>
      </c>
      <c r="F3" s="5">
        <v>239.684</v>
      </c>
      <c r="G3" s="7">
        <v>0.30199999999999999</v>
      </c>
      <c r="H3" s="7">
        <v>1084.922</v>
      </c>
      <c r="I3" s="9">
        <v>0.16800000000000001</v>
      </c>
      <c r="J3" s="9">
        <v>6.9669999999999996</v>
      </c>
      <c r="L3">
        <f t="shared" ref="L3:L49" si="0">D3*1000</f>
        <v>86767</v>
      </c>
      <c r="M3">
        <v>0</v>
      </c>
      <c r="N3">
        <f t="shared" ref="N3:N49" si="1">1000*E3</f>
        <v>119771</v>
      </c>
      <c r="O3">
        <f t="shared" ref="O3:O49" si="2">1000*(G3+I3)</f>
        <v>470</v>
      </c>
      <c r="P3">
        <f t="shared" ref="P3:P49" si="3">1000*F3</f>
        <v>239684</v>
      </c>
      <c r="Q3">
        <f t="shared" ref="Q3:Q49" si="4">1000*(H3+J3)</f>
        <v>1091889.0000000002</v>
      </c>
    </row>
    <row r="4" spans="1:17">
      <c r="A4" s="1">
        <v>2035</v>
      </c>
      <c r="B4" t="s">
        <v>17</v>
      </c>
      <c r="C4" t="s">
        <v>18</v>
      </c>
      <c r="D4" s="3">
        <v>14.087999999999999</v>
      </c>
      <c r="E4" s="5">
        <v>27.460999999999999</v>
      </c>
      <c r="F4" s="5">
        <v>53.921999999999997</v>
      </c>
      <c r="G4" s="7">
        <v>10.59</v>
      </c>
      <c r="H4" s="7">
        <v>265.23200000000003</v>
      </c>
      <c r="I4" s="9">
        <v>3.1760000000000002</v>
      </c>
      <c r="J4" s="9">
        <v>34.417000000000002</v>
      </c>
      <c r="L4">
        <f t="shared" si="0"/>
        <v>14088</v>
      </c>
      <c r="M4">
        <v>0</v>
      </c>
      <c r="N4">
        <f t="shared" si="1"/>
        <v>27461</v>
      </c>
      <c r="O4">
        <f t="shared" si="2"/>
        <v>13766</v>
      </c>
      <c r="P4">
        <f t="shared" si="3"/>
        <v>53922</v>
      </c>
      <c r="Q4">
        <f t="shared" si="4"/>
        <v>299649</v>
      </c>
    </row>
    <row r="5" spans="1:17">
      <c r="A5" s="1">
        <v>2035</v>
      </c>
      <c r="B5" t="s">
        <v>19</v>
      </c>
      <c r="C5" t="s">
        <v>20</v>
      </c>
      <c r="D5" s="3">
        <v>25.715</v>
      </c>
      <c r="E5" s="5">
        <v>19.96</v>
      </c>
      <c r="F5" s="5">
        <v>37.777999999999999</v>
      </c>
      <c r="G5" s="7">
        <v>4.3090000000000002</v>
      </c>
      <c r="H5" s="7">
        <v>148.18</v>
      </c>
      <c r="I5" s="9">
        <v>3.2000000000000001E-2</v>
      </c>
      <c r="J5" s="9">
        <v>1.06</v>
      </c>
      <c r="L5">
        <f t="shared" si="0"/>
        <v>25715</v>
      </c>
      <c r="M5">
        <v>0</v>
      </c>
      <c r="N5">
        <f t="shared" si="1"/>
        <v>19960</v>
      </c>
      <c r="O5">
        <f t="shared" si="2"/>
        <v>4341</v>
      </c>
      <c r="P5">
        <f t="shared" si="3"/>
        <v>37778</v>
      </c>
      <c r="Q5">
        <f t="shared" si="4"/>
        <v>149240</v>
      </c>
    </row>
    <row r="6" spans="1:17">
      <c r="A6" s="1">
        <v>2035</v>
      </c>
      <c r="B6" t="s">
        <v>21</v>
      </c>
      <c r="C6" t="s">
        <v>22</v>
      </c>
      <c r="D6" s="3">
        <v>17.175000000000001</v>
      </c>
      <c r="E6" s="5">
        <v>19.393999999999998</v>
      </c>
      <c r="F6" s="5">
        <v>30.516999999999999</v>
      </c>
      <c r="G6" s="7">
        <v>4.9370000000000003</v>
      </c>
      <c r="H6" s="7">
        <v>100.40900000000001</v>
      </c>
      <c r="I6" s="9">
        <v>4.2969999999999997</v>
      </c>
      <c r="J6" s="9">
        <v>60.640999999999998</v>
      </c>
      <c r="L6">
        <f t="shared" si="0"/>
        <v>17175</v>
      </c>
      <c r="M6">
        <v>0</v>
      </c>
      <c r="N6">
        <f t="shared" si="1"/>
        <v>19394</v>
      </c>
      <c r="O6">
        <f t="shared" si="2"/>
        <v>9234</v>
      </c>
      <c r="P6">
        <f t="shared" si="3"/>
        <v>30517</v>
      </c>
      <c r="Q6">
        <f t="shared" si="4"/>
        <v>161050</v>
      </c>
    </row>
    <row r="7" spans="1:17">
      <c r="A7" s="1">
        <v>2035</v>
      </c>
      <c r="B7" t="s">
        <v>23</v>
      </c>
      <c r="C7" t="s">
        <v>24</v>
      </c>
      <c r="D7" s="3">
        <v>6.7759999999999998</v>
      </c>
      <c r="E7" s="5">
        <v>8.9580000000000002</v>
      </c>
      <c r="F7" s="5">
        <v>21.024000000000001</v>
      </c>
      <c r="G7" s="7">
        <v>1.504</v>
      </c>
      <c r="H7" s="7">
        <v>67.703000000000003</v>
      </c>
      <c r="I7" s="9">
        <v>0</v>
      </c>
      <c r="J7" s="9">
        <v>0</v>
      </c>
      <c r="L7">
        <f t="shared" si="0"/>
        <v>6776</v>
      </c>
      <c r="M7">
        <v>0</v>
      </c>
      <c r="N7">
        <f t="shared" si="1"/>
        <v>8958</v>
      </c>
      <c r="O7">
        <f t="shared" si="2"/>
        <v>1504</v>
      </c>
      <c r="P7">
        <f t="shared" si="3"/>
        <v>21024</v>
      </c>
      <c r="Q7">
        <f t="shared" si="4"/>
        <v>67703</v>
      </c>
    </row>
    <row r="8" spans="1:17">
      <c r="A8" s="1">
        <v>2035</v>
      </c>
      <c r="B8" t="s">
        <v>25</v>
      </c>
      <c r="C8" t="s">
        <v>26</v>
      </c>
      <c r="D8" s="3">
        <v>4.4580000000000002</v>
      </c>
      <c r="E8" s="5">
        <v>6.8810000000000002</v>
      </c>
      <c r="F8" s="5">
        <v>14.680999999999999</v>
      </c>
      <c r="G8" s="7">
        <v>2.4790000000000001</v>
      </c>
      <c r="H8" s="7">
        <v>55.792000000000002</v>
      </c>
      <c r="I8" s="9">
        <v>0.153</v>
      </c>
      <c r="J8" s="9">
        <v>3.0409999999999999</v>
      </c>
      <c r="L8">
        <f t="shared" si="0"/>
        <v>4458</v>
      </c>
      <c r="M8">
        <v>0</v>
      </c>
      <c r="N8">
        <f t="shared" si="1"/>
        <v>6881</v>
      </c>
      <c r="O8">
        <f t="shared" si="2"/>
        <v>2632</v>
      </c>
      <c r="P8">
        <f t="shared" si="3"/>
        <v>14681</v>
      </c>
      <c r="Q8">
        <f t="shared" si="4"/>
        <v>58833</v>
      </c>
    </row>
    <row r="9" spans="1:17">
      <c r="A9" s="1">
        <v>2035</v>
      </c>
      <c r="B9" t="s">
        <v>27</v>
      </c>
      <c r="C9" t="s">
        <v>28</v>
      </c>
      <c r="D9" s="3">
        <v>53.661999999999999</v>
      </c>
      <c r="E9" s="5">
        <v>30.571999999999999</v>
      </c>
      <c r="F9" s="5">
        <v>47.654000000000003</v>
      </c>
      <c r="G9" s="7">
        <v>6.1269999999999998</v>
      </c>
      <c r="H9" s="7">
        <v>154.673</v>
      </c>
      <c r="I9" s="9">
        <v>0</v>
      </c>
      <c r="J9" s="9">
        <v>0</v>
      </c>
      <c r="L9">
        <f t="shared" si="0"/>
        <v>53662</v>
      </c>
      <c r="M9">
        <v>0</v>
      </c>
      <c r="N9">
        <f t="shared" si="1"/>
        <v>30572</v>
      </c>
      <c r="O9">
        <f t="shared" si="2"/>
        <v>6127</v>
      </c>
      <c r="P9">
        <f t="shared" si="3"/>
        <v>47654</v>
      </c>
      <c r="Q9">
        <f t="shared" si="4"/>
        <v>154673</v>
      </c>
    </row>
    <row r="10" spans="1:17">
      <c r="A10" s="1">
        <v>2035</v>
      </c>
      <c r="B10" t="s">
        <v>29</v>
      </c>
      <c r="C10" t="s">
        <v>30</v>
      </c>
      <c r="D10" s="3">
        <v>23.734999999999999</v>
      </c>
      <c r="E10" s="5">
        <v>20.625</v>
      </c>
      <c r="F10" s="5">
        <v>40.247999999999998</v>
      </c>
      <c r="G10" s="7">
        <v>2.4940000000000002</v>
      </c>
      <c r="H10" s="7">
        <v>152.84899999999999</v>
      </c>
      <c r="I10" s="9">
        <v>1.7999999999999999E-2</v>
      </c>
      <c r="J10" s="9">
        <v>0.873</v>
      </c>
      <c r="L10">
        <f t="shared" si="0"/>
        <v>23735</v>
      </c>
      <c r="M10">
        <v>0</v>
      </c>
      <c r="N10">
        <f t="shared" si="1"/>
        <v>20625</v>
      </c>
      <c r="O10">
        <f t="shared" si="2"/>
        <v>2512</v>
      </c>
      <c r="P10">
        <f t="shared" si="3"/>
        <v>40248</v>
      </c>
      <c r="Q10">
        <f t="shared" si="4"/>
        <v>153721.99999999997</v>
      </c>
    </row>
    <row r="11" spans="1:17">
      <c r="A11" s="1">
        <v>2035</v>
      </c>
      <c r="B11" t="s">
        <v>31</v>
      </c>
      <c r="C11" t="s">
        <v>32</v>
      </c>
      <c r="D11" s="3">
        <v>4.5960000000000001</v>
      </c>
      <c r="E11" s="5">
        <v>4.5780000000000003</v>
      </c>
      <c r="F11" s="5">
        <v>11.057</v>
      </c>
      <c r="G11" s="7">
        <v>2.4380000000000002</v>
      </c>
      <c r="H11" s="7">
        <v>53.734999999999999</v>
      </c>
      <c r="I11" s="9">
        <v>2.5000000000000001E-2</v>
      </c>
      <c r="J11" s="9">
        <v>0.59199999999999997</v>
      </c>
      <c r="L11">
        <f t="shared" si="0"/>
        <v>4596</v>
      </c>
      <c r="M11">
        <v>0</v>
      </c>
      <c r="N11">
        <f t="shared" si="1"/>
        <v>4578</v>
      </c>
      <c r="O11">
        <f t="shared" si="2"/>
        <v>2463</v>
      </c>
      <c r="P11">
        <f t="shared" si="3"/>
        <v>11057</v>
      </c>
      <c r="Q11">
        <f t="shared" si="4"/>
        <v>54327</v>
      </c>
    </row>
    <row r="12" spans="1:17">
      <c r="A12" s="1">
        <v>2035</v>
      </c>
      <c r="B12" t="s">
        <v>33</v>
      </c>
      <c r="C12" t="s">
        <v>34</v>
      </c>
      <c r="D12" s="3">
        <v>2.0550000000000002</v>
      </c>
      <c r="E12" s="5">
        <v>3.0710000000000002</v>
      </c>
      <c r="F12" s="5">
        <v>4.3479999999999999</v>
      </c>
      <c r="G12" s="7">
        <v>2.2280000000000002</v>
      </c>
      <c r="H12" s="7">
        <v>19.710999999999999</v>
      </c>
      <c r="I12" s="9">
        <v>7.3719999999999999</v>
      </c>
      <c r="J12" s="9">
        <v>47.252000000000002</v>
      </c>
      <c r="L12">
        <f t="shared" si="0"/>
        <v>2055</v>
      </c>
      <c r="M12">
        <v>0</v>
      </c>
      <c r="N12">
        <f t="shared" si="1"/>
        <v>3071</v>
      </c>
      <c r="O12">
        <f t="shared" si="2"/>
        <v>9600</v>
      </c>
      <c r="P12">
        <f t="shared" si="3"/>
        <v>4348</v>
      </c>
      <c r="Q12">
        <f t="shared" si="4"/>
        <v>66963</v>
      </c>
    </row>
    <row r="13" spans="1:17">
      <c r="A13" s="1">
        <v>2035</v>
      </c>
      <c r="B13" t="s">
        <v>35</v>
      </c>
      <c r="C13" t="s">
        <v>36</v>
      </c>
      <c r="D13" s="3">
        <v>23.617000000000001</v>
      </c>
      <c r="E13" s="5">
        <v>54.62</v>
      </c>
      <c r="F13" s="5">
        <v>95.852999999999994</v>
      </c>
      <c r="G13" s="7">
        <v>117.02500000000001</v>
      </c>
      <c r="H13" s="7">
        <v>662.78599999999994</v>
      </c>
      <c r="I13" s="9">
        <v>69.061999999999998</v>
      </c>
      <c r="J13" s="9">
        <v>349.06799999999998</v>
      </c>
      <c r="L13">
        <f t="shared" si="0"/>
        <v>23617</v>
      </c>
      <c r="M13">
        <v>0</v>
      </c>
      <c r="N13">
        <f t="shared" si="1"/>
        <v>54620</v>
      </c>
      <c r="O13">
        <f t="shared" si="2"/>
        <v>186087</v>
      </c>
      <c r="P13">
        <f t="shared" si="3"/>
        <v>95853</v>
      </c>
      <c r="Q13">
        <f t="shared" si="4"/>
        <v>1011853.9999999999</v>
      </c>
    </row>
    <row r="14" spans="1:17">
      <c r="A14" s="1">
        <v>2035</v>
      </c>
      <c r="B14" t="s">
        <v>37</v>
      </c>
      <c r="C14" t="s">
        <v>38</v>
      </c>
      <c r="D14" s="3">
        <v>1.7190000000000001</v>
      </c>
      <c r="E14" s="5">
        <v>7.4489999999999998</v>
      </c>
      <c r="F14" s="5">
        <v>6.6440000000000001</v>
      </c>
      <c r="G14" s="7">
        <v>7.7679999999999998</v>
      </c>
      <c r="H14" s="7">
        <v>30.63</v>
      </c>
      <c r="I14" s="9">
        <v>75.501999999999995</v>
      </c>
      <c r="J14" s="9">
        <v>196.70400000000001</v>
      </c>
      <c r="L14">
        <f t="shared" si="0"/>
        <v>1719</v>
      </c>
      <c r="M14">
        <v>0</v>
      </c>
      <c r="N14">
        <f t="shared" si="1"/>
        <v>7449</v>
      </c>
      <c r="O14">
        <f t="shared" si="2"/>
        <v>83270</v>
      </c>
      <c r="P14">
        <f t="shared" si="3"/>
        <v>6644</v>
      </c>
      <c r="Q14">
        <f t="shared" si="4"/>
        <v>227334</v>
      </c>
    </row>
    <row r="15" spans="1:17">
      <c r="A15" s="1">
        <v>2035</v>
      </c>
      <c r="B15" t="s">
        <v>39</v>
      </c>
      <c r="C15" t="s">
        <v>40</v>
      </c>
      <c r="D15" s="3">
        <v>5.6619999999999999</v>
      </c>
      <c r="E15" s="5">
        <v>8.75</v>
      </c>
      <c r="F15" s="5">
        <v>16.704000000000001</v>
      </c>
      <c r="G15" s="7">
        <v>1.3089999999999999</v>
      </c>
      <c r="H15" s="7">
        <v>57.271000000000001</v>
      </c>
      <c r="I15" s="9">
        <v>0.128</v>
      </c>
      <c r="J15" s="9">
        <v>2.4009999999999998</v>
      </c>
      <c r="L15">
        <f t="shared" si="0"/>
        <v>5662</v>
      </c>
      <c r="M15">
        <v>0</v>
      </c>
      <c r="N15">
        <f t="shared" si="1"/>
        <v>8750</v>
      </c>
      <c r="O15">
        <f t="shared" si="2"/>
        <v>1436.9999999999998</v>
      </c>
      <c r="P15">
        <f t="shared" si="3"/>
        <v>16704</v>
      </c>
      <c r="Q15">
        <f t="shared" si="4"/>
        <v>59672</v>
      </c>
    </row>
    <row r="16" spans="1:17">
      <c r="A16" s="1">
        <v>2035</v>
      </c>
      <c r="B16" t="s">
        <v>41</v>
      </c>
      <c r="C16" t="s">
        <v>42</v>
      </c>
      <c r="D16" s="3">
        <v>1.0900000000000001</v>
      </c>
      <c r="E16" s="5">
        <v>0.83499999999999996</v>
      </c>
      <c r="F16" s="5">
        <v>1.7010000000000001</v>
      </c>
      <c r="G16" s="7">
        <v>0.23699999999999999</v>
      </c>
      <c r="H16" s="7">
        <v>6.5970000000000004</v>
      </c>
      <c r="I16" s="9">
        <v>3.0000000000000001E-3</v>
      </c>
      <c r="J16" s="9">
        <v>8.8999999999999996E-2</v>
      </c>
      <c r="L16">
        <f t="shared" si="0"/>
        <v>1090</v>
      </c>
      <c r="M16">
        <v>0</v>
      </c>
      <c r="N16">
        <f t="shared" si="1"/>
        <v>835</v>
      </c>
      <c r="O16">
        <f t="shared" si="2"/>
        <v>240</v>
      </c>
      <c r="P16">
        <f t="shared" si="3"/>
        <v>1701</v>
      </c>
      <c r="Q16">
        <f t="shared" si="4"/>
        <v>6686.0000000000009</v>
      </c>
    </row>
    <row r="17" spans="1:17">
      <c r="A17" s="1">
        <v>2035</v>
      </c>
      <c r="B17" t="s">
        <v>45</v>
      </c>
      <c r="C17" t="s">
        <v>44</v>
      </c>
      <c r="D17" s="3">
        <v>271.68200000000002</v>
      </c>
      <c r="E17" s="5">
        <v>333.87400000000002</v>
      </c>
      <c r="F17" s="5">
        <v>623.70500000000004</v>
      </c>
      <c r="G17" s="7">
        <v>164.65899999999999</v>
      </c>
      <c r="H17" s="7">
        <v>2869.4270000000001</v>
      </c>
      <c r="I17" s="9">
        <v>159.94</v>
      </c>
      <c r="J17" s="9">
        <v>703.17700000000002</v>
      </c>
      <c r="L17">
        <f t="shared" si="0"/>
        <v>271682</v>
      </c>
      <c r="M17">
        <v>0</v>
      </c>
      <c r="N17">
        <f t="shared" si="1"/>
        <v>333874</v>
      </c>
      <c r="O17">
        <f t="shared" si="2"/>
        <v>324599</v>
      </c>
      <c r="P17">
        <f t="shared" si="3"/>
        <v>623705</v>
      </c>
      <c r="Q17">
        <f t="shared" si="4"/>
        <v>3572604.0000000005</v>
      </c>
    </row>
    <row r="18" spans="1:17">
      <c r="A18" s="1">
        <v>2050</v>
      </c>
      <c r="B18" t="s">
        <v>13</v>
      </c>
      <c r="C18" t="s">
        <v>14</v>
      </c>
      <c r="D18" s="3">
        <v>0.94399999999999995</v>
      </c>
      <c r="E18" s="5">
        <v>1.476</v>
      </c>
      <c r="F18" s="5">
        <v>2.831</v>
      </c>
      <c r="G18" s="7">
        <v>0.90500000000000003</v>
      </c>
      <c r="H18" s="7">
        <v>11.023</v>
      </c>
      <c r="I18" s="9">
        <v>1E-3</v>
      </c>
      <c r="J18" s="9">
        <v>5.0999999999999997E-2</v>
      </c>
      <c r="L18">
        <f t="shared" si="0"/>
        <v>944</v>
      </c>
      <c r="M18">
        <v>0</v>
      </c>
      <c r="N18">
        <f t="shared" si="1"/>
        <v>1476</v>
      </c>
      <c r="O18">
        <f t="shared" si="2"/>
        <v>906</v>
      </c>
      <c r="P18">
        <f t="shared" si="3"/>
        <v>2831</v>
      </c>
      <c r="Q18">
        <f t="shared" si="4"/>
        <v>11074</v>
      </c>
    </row>
    <row r="19" spans="1:17">
      <c r="A19" s="1">
        <v>2050</v>
      </c>
      <c r="B19" t="s">
        <v>15</v>
      </c>
      <c r="C19" t="s">
        <v>16</v>
      </c>
      <c r="D19" s="3">
        <v>205.24799999999999</v>
      </c>
      <c r="E19" s="5">
        <v>290.53199999999998</v>
      </c>
      <c r="F19" s="5">
        <v>547.82500000000005</v>
      </c>
      <c r="G19" s="7">
        <v>0.43</v>
      </c>
      <c r="H19" s="7">
        <v>1913.4690000000001</v>
      </c>
      <c r="I19" s="9">
        <v>1.9E-2</v>
      </c>
      <c r="J19" s="9">
        <v>0.79800000000000004</v>
      </c>
      <c r="L19">
        <f t="shared" si="0"/>
        <v>205248</v>
      </c>
      <c r="M19">
        <v>0</v>
      </c>
      <c r="N19">
        <f t="shared" si="1"/>
        <v>290532</v>
      </c>
      <c r="O19">
        <f t="shared" si="2"/>
        <v>449</v>
      </c>
      <c r="P19">
        <f t="shared" si="3"/>
        <v>547825</v>
      </c>
      <c r="Q19">
        <f t="shared" si="4"/>
        <v>1914267</v>
      </c>
    </row>
    <row r="20" spans="1:17">
      <c r="A20" s="1">
        <v>2050</v>
      </c>
      <c r="B20" t="s">
        <v>17</v>
      </c>
      <c r="C20" t="s">
        <v>18</v>
      </c>
      <c r="D20" s="3">
        <v>37.262999999999998</v>
      </c>
      <c r="E20" s="5">
        <v>69</v>
      </c>
      <c r="F20" s="5">
        <v>135.114</v>
      </c>
      <c r="G20" s="7">
        <v>14.553000000000001</v>
      </c>
      <c r="H20" s="7">
        <v>553.44899999999996</v>
      </c>
      <c r="I20" s="9">
        <v>1.2190000000000001</v>
      </c>
      <c r="J20" s="9">
        <v>15.21</v>
      </c>
      <c r="L20">
        <f t="shared" si="0"/>
        <v>37263</v>
      </c>
      <c r="M20">
        <v>0</v>
      </c>
      <c r="N20">
        <f t="shared" si="1"/>
        <v>69000</v>
      </c>
      <c r="O20">
        <f t="shared" si="2"/>
        <v>15772</v>
      </c>
      <c r="P20">
        <f t="shared" si="3"/>
        <v>135114</v>
      </c>
      <c r="Q20">
        <f t="shared" si="4"/>
        <v>568659</v>
      </c>
    </row>
    <row r="21" spans="1:17">
      <c r="A21" s="1">
        <v>2050</v>
      </c>
      <c r="B21" t="s">
        <v>19</v>
      </c>
      <c r="C21" t="s">
        <v>20</v>
      </c>
      <c r="D21" s="3">
        <v>35.19</v>
      </c>
      <c r="E21" s="5">
        <v>26.515000000000001</v>
      </c>
      <c r="F21" s="5">
        <v>49.094000000000001</v>
      </c>
      <c r="G21" s="7">
        <v>2.61</v>
      </c>
      <c r="H21" s="7">
        <v>146.79400000000001</v>
      </c>
      <c r="I21" s="9">
        <v>1E-3</v>
      </c>
      <c r="J21" s="9">
        <v>0.129</v>
      </c>
      <c r="L21">
        <f t="shared" si="0"/>
        <v>35190</v>
      </c>
      <c r="M21">
        <v>0</v>
      </c>
      <c r="N21">
        <f t="shared" si="1"/>
        <v>26515</v>
      </c>
      <c r="O21">
        <f t="shared" si="2"/>
        <v>2610.9999999999995</v>
      </c>
      <c r="P21">
        <f t="shared" si="3"/>
        <v>49094</v>
      </c>
      <c r="Q21">
        <f t="shared" si="4"/>
        <v>146923</v>
      </c>
    </row>
    <row r="22" spans="1:17">
      <c r="A22" s="1">
        <v>2050</v>
      </c>
      <c r="B22" t="s">
        <v>21</v>
      </c>
      <c r="C22" t="s">
        <v>22</v>
      </c>
      <c r="D22" s="3">
        <v>43.786999999999999</v>
      </c>
      <c r="E22" s="5">
        <v>44.323</v>
      </c>
      <c r="F22" s="5">
        <v>72.013000000000005</v>
      </c>
      <c r="G22" s="7">
        <v>6.5979999999999999</v>
      </c>
      <c r="H22" s="7">
        <v>213.214</v>
      </c>
      <c r="I22" s="9">
        <v>1.944</v>
      </c>
      <c r="J22" s="9">
        <v>39.011000000000003</v>
      </c>
      <c r="L22">
        <f t="shared" si="0"/>
        <v>43787</v>
      </c>
      <c r="M22">
        <v>0</v>
      </c>
      <c r="N22">
        <f t="shared" si="1"/>
        <v>44323</v>
      </c>
      <c r="O22">
        <f t="shared" si="2"/>
        <v>8542</v>
      </c>
      <c r="P22">
        <f t="shared" si="3"/>
        <v>72013</v>
      </c>
      <c r="Q22">
        <f t="shared" si="4"/>
        <v>252225</v>
      </c>
    </row>
    <row r="23" spans="1:17">
      <c r="A23" s="1">
        <v>2050</v>
      </c>
      <c r="B23" t="s">
        <v>23</v>
      </c>
      <c r="C23" t="s">
        <v>24</v>
      </c>
      <c r="D23" s="3">
        <v>17.390999999999998</v>
      </c>
      <c r="E23" s="5">
        <v>23.081</v>
      </c>
      <c r="F23" s="5">
        <v>52.9</v>
      </c>
      <c r="G23" s="7">
        <v>2.113</v>
      </c>
      <c r="H23" s="7">
        <v>162.67400000000001</v>
      </c>
      <c r="I23" s="9">
        <v>0</v>
      </c>
      <c r="J23" s="9">
        <v>0</v>
      </c>
      <c r="L23">
        <f t="shared" si="0"/>
        <v>17391</v>
      </c>
      <c r="M23">
        <v>0</v>
      </c>
      <c r="N23">
        <f t="shared" si="1"/>
        <v>23081</v>
      </c>
      <c r="O23">
        <f t="shared" si="2"/>
        <v>2113</v>
      </c>
      <c r="P23">
        <f t="shared" si="3"/>
        <v>52900</v>
      </c>
      <c r="Q23">
        <f t="shared" si="4"/>
        <v>162674</v>
      </c>
    </row>
    <row r="24" spans="1:17">
      <c r="A24" s="1">
        <v>2050</v>
      </c>
      <c r="B24" t="s">
        <v>25</v>
      </c>
      <c r="C24" t="s">
        <v>26</v>
      </c>
      <c r="D24" s="3">
        <v>13.117000000000001</v>
      </c>
      <c r="E24" s="5">
        <v>20.111000000000001</v>
      </c>
      <c r="F24" s="5">
        <v>42.78</v>
      </c>
      <c r="G24" s="7">
        <v>4.9000000000000004</v>
      </c>
      <c r="H24" s="7">
        <v>155.226</v>
      </c>
      <c r="I24" s="9">
        <v>0.16600000000000001</v>
      </c>
      <c r="J24" s="9">
        <v>4.4640000000000004</v>
      </c>
      <c r="L24">
        <f t="shared" si="0"/>
        <v>13117</v>
      </c>
      <c r="M24">
        <v>0</v>
      </c>
      <c r="N24">
        <f t="shared" si="1"/>
        <v>20111</v>
      </c>
      <c r="O24">
        <f t="shared" si="2"/>
        <v>5066.0000000000009</v>
      </c>
      <c r="P24">
        <f t="shared" si="3"/>
        <v>42780</v>
      </c>
      <c r="Q24">
        <f t="shared" si="4"/>
        <v>159690</v>
      </c>
    </row>
    <row r="25" spans="1:17">
      <c r="A25" s="1">
        <v>2050</v>
      </c>
      <c r="B25" t="s">
        <v>27</v>
      </c>
      <c r="C25" t="s">
        <v>28</v>
      </c>
      <c r="D25" s="3">
        <v>85.004000000000005</v>
      </c>
      <c r="E25" s="5">
        <v>47.999000000000002</v>
      </c>
      <c r="F25" s="5">
        <v>74.216999999999999</v>
      </c>
      <c r="G25" s="7">
        <v>5.952</v>
      </c>
      <c r="H25" s="7">
        <v>200.506</v>
      </c>
      <c r="I25" s="9">
        <v>0</v>
      </c>
      <c r="J25" s="9">
        <v>0</v>
      </c>
      <c r="L25">
        <f t="shared" si="0"/>
        <v>85004</v>
      </c>
      <c r="M25">
        <v>0</v>
      </c>
      <c r="N25">
        <f t="shared" si="1"/>
        <v>47999</v>
      </c>
      <c r="O25">
        <f t="shared" si="2"/>
        <v>5952</v>
      </c>
      <c r="P25">
        <f t="shared" si="3"/>
        <v>74217</v>
      </c>
      <c r="Q25">
        <f t="shared" si="4"/>
        <v>200506</v>
      </c>
    </row>
    <row r="26" spans="1:17">
      <c r="A26" s="1">
        <v>2050</v>
      </c>
      <c r="B26" t="s">
        <v>29</v>
      </c>
      <c r="C26" t="s">
        <v>30</v>
      </c>
      <c r="D26" s="3">
        <v>48.722000000000001</v>
      </c>
      <c r="E26" s="5">
        <v>42.8</v>
      </c>
      <c r="F26" s="5">
        <v>79.671999999999997</v>
      </c>
      <c r="G26" s="7">
        <v>2.427</v>
      </c>
      <c r="H26" s="7">
        <v>258.08800000000002</v>
      </c>
      <c r="I26" s="9">
        <v>3.0000000000000001E-3</v>
      </c>
      <c r="J26" s="9">
        <v>0.35399999999999998</v>
      </c>
      <c r="L26">
        <f t="shared" si="0"/>
        <v>48722</v>
      </c>
      <c r="M26">
        <v>0</v>
      </c>
      <c r="N26">
        <f t="shared" si="1"/>
        <v>42800</v>
      </c>
      <c r="O26">
        <f t="shared" si="2"/>
        <v>2430</v>
      </c>
      <c r="P26">
        <f t="shared" si="3"/>
        <v>79672</v>
      </c>
      <c r="Q26">
        <f t="shared" si="4"/>
        <v>258442</v>
      </c>
    </row>
    <row r="27" spans="1:17">
      <c r="A27" s="1">
        <v>2050</v>
      </c>
      <c r="B27" t="s">
        <v>31</v>
      </c>
      <c r="C27" t="s">
        <v>32</v>
      </c>
      <c r="D27" s="3">
        <v>5.2489999999999997</v>
      </c>
      <c r="E27" s="5">
        <v>5.3010000000000002</v>
      </c>
      <c r="F27" s="5">
        <v>12.685</v>
      </c>
      <c r="G27" s="7">
        <v>1.5529999999999999</v>
      </c>
      <c r="H27" s="7">
        <v>49.143000000000001</v>
      </c>
      <c r="I27" s="9">
        <v>8.9999999999999993E-3</v>
      </c>
      <c r="J27" s="9">
        <v>0.29499999999999998</v>
      </c>
      <c r="L27">
        <f t="shared" si="0"/>
        <v>5249</v>
      </c>
      <c r="M27">
        <v>0</v>
      </c>
      <c r="N27">
        <f t="shared" si="1"/>
        <v>5301</v>
      </c>
      <c r="O27">
        <f t="shared" si="2"/>
        <v>1561.9999999999998</v>
      </c>
      <c r="P27">
        <f t="shared" si="3"/>
        <v>12685</v>
      </c>
      <c r="Q27">
        <f t="shared" si="4"/>
        <v>49438</v>
      </c>
    </row>
    <row r="28" spans="1:17">
      <c r="A28" s="1">
        <v>2050</v>
      </c>
      <c r="B28" t="s">
        <v>33</v>
      </c>
      <c r="C28" t="s">
        <v>34</v>
      </c>
      <c r="D28" s="3">
        <v>9.1989999999999998</v>
      </c>
      <c r="E28" s="5">
        <v>10.45</v>
      </c>
      <c r="F28" s="5">
        <v>18.645</v>
      </c>
      <c r="G28" s="7">
        <v>8.7509999999999994</v>
      </c>
      <c r="H28" s="7">
        <v>97.584000000000003</v>
      </c>
      <c r="I28" s="9">
        <v>9.7859999999999996</v>
      </c>
      <c r="J28" s="9">
        <v>78.421000000000006</v>
      </c>
      <c r="L28">
        <f t="shared" si="0"/>
        <v>9199</v>
      </c>
      <c r="M28">
        <v>0</v>
      </c>
      <c r="N28">
        <f t="shared" si="1"/>
        <v>10450</v>
      </c>
      <c r="O28">
        <f t="shared" si="2"/>
        <v>18537</v>
      </c>
      <c r="P28">
        <f t="shared" si="3"/>
        <v>18645</v>
      </c>
      <c r="Q28">
        <f t="shared" si="4"/>
        <v>176005</v>
      </c>
    </row>
    <row r="29" spans="1:17">
      <c r="A29" s="1">
        <v>2050</v>
      </c>
      <c r="B29" t="s">
        <v>35</v>
      </c>
      <c r="C29" t="s">
        <v>36</v>
      </c>
      <c r="D29" s="3">
        <v>69.650000000000006</v>
      </c>
      <c r="E29" s="5">
        <v>148.85599999999999</v>
      </c>
      <c r="F29" s="5">
        <v>271.11399999999998</v>
      </c>
      <c r="G29" s="7">
        <v>239.71700000000001</v>
      </c>
      <c r="H29" s="7">
        <v>1759.5419999999999</v>
      </c>
      <c r="I29" s="9">
        <v>49.396000000000001</v>
      </c>
      <c r="J29" s="9">
        <v>328.28699999999998</v>
      </c>
      <c r="L29">
        <f t="shared" si="0"/>
        <v>69650</v>
      </c>
      <c r="M29">
        <v>0</v>
      </c>
      <c r="N29">
        <f t="shared" si="1"/>
        <v>148856</v>
      </c>
      <c r="O29">
        <f t="shared" si="2"/>
        <v>289113</v>
      </c>
      <c r="P29">
        <f t="shared" si="3"/>
        <v>271114</v>
      </c>
      <c r="Q29">
        <f t="shared" si="4"/>
        <v>2087828.9999999998</v>
      </c>
    </row>
    <row r="30" spans="1:17">
      <c r="A30" s="1">
        <v>2050</v>
      </c>
      <c r="B30" t="s">
        <v>37</v>
      </c>
      <c r="C30" t="s">
        <v>38</v>
      </c>
      <c r="D30" s="3">
        <v>5.2069999999999999</v>
      </c>
      <c r="E30" s="5">
        <v>20.209</v>
      </c>
      <c r="F30" s="5">
        <v>19.669</v>
      </c>
      <c r="G30" s="7">
        <v>22.35</v>
      </c>
      <c r="H30" s="7">
        <v>99.305000000000007</v>
      </c>
      <c r="I30" s="9">
        <v>98.563000000000002</v>
      </c>
      <c r="J30" s="9">
        <v>301.06900000000002</v>
      </c>
      <c r="L30">
        <f t="shared" si="0"/>
        <v>5207</v>
      </c>
      <c r="M30">
        <v>0</v>
      </c>
      <c r="N30">
        <f t="shared" si="1"/>
        <v>20209</v>
      </c>
      <c r="O30">
        <f t="shared" si="2"/>
        <v>120913.00000000001</v>
      </c>
      <c r="P30">
        <f t="shared" si="3"/>
        <v>19669</v>
      </c>
      <c r="Q30">
        <f t="shared" si="4"/>
        <v>400374</v>
      </c>
    </row>
    <row r="31" spans="1:17">
      <c r="A31" s="1">
        <v>2050</v>
      </c>
      <c r="B31" t="s">
        <v>39</v>
      </c>
      <c r="C31" t="s">
        <v>40</v>
      </c>
      <c r="D31" s="3">
        <v>8.9380000000000006</v>
      </c>
      <c r="E31" s="5">
        <v>14.992000000000001</v>
      </c>
      <c r="F31" s="5">
        <v>28.489000000000001</v>
      </c>
      <c r="G31" s="7">
        <v>0.72599999999999998</v>
      </c>
      <c r="H31" s="7">
        <v>78.876999999999995</v>
      </c>
      <c r="I31" s="9">
        <v>0.183</v>
      </c>
      <c r="J31" s="9">
        <v>4.4790000000000001</v>
      </c>
      <c r="L31">
        <f t="shared" si="0"/>
        <v>8938</v>
      </c>
      <c r="M31">
        <v>0</v>
      </c>
      <c r="N31">
        <f t="shared" si="1"/>
        <v>14992</v>
      </c>
      <c r="O31">
        <f t="shared" si="2"/>
        <v>909</v>
      </c>
      <c r="P31">
        <f t="shared" si="3"/>
        <v>28489</v>
      </c>
      <c r="Q31">
        <f t="shared" si="4"/>
        <v>83356</v>
      </c>
    </row>
    <row r="32" spans="1:17">
      <c r="A32" s="1">
        <v>2050</v>
      </c>
      <c r="B32" t="s">
        <v>41</v>
      </c>
      <c r="C32" t="s">
        <v>42</v>
      </c>
      <c r="D32" s="3">
        <v>2.0329999999999999</v>
      </c>
      <c r="E32" s="5">
        <v>1.603</v>
      </c>
      <c r="F32" s="5">
        <v>3.1949999999999998</v>
      </c>
      <c r="G32" s="7">
        <v>0.22</v>
      </c>
      <c r="H32" s="7">
        <v>9.8829999999999991</v>
      </c>
      <c r="I32" s="9">
        <v>1E-3</v>
      </c>
      <c r="J32" s="9">
        <v>7.5999999999999998E-2</v>
      </c>
      <c r="L32">
        <f t="shared" si="0"/>
        <v>2033</v>
      </c>
      <c r="M32">
        <v>0</v>
      </c>
      <c r="N32">
        <f t="shared" si="1"/>
        <v>1603</v>
      </c>
      <c r="O32">
        <f t="shared" si="2"/>
        <v>221</v>
      </c>
      <c r="P32">
        <f t="shared" si="3"/>
        <v>3195</v>
      </c>
      <c r="Q32">
        <f t="shared" si="4"/>
        <v>9959</v>
      </c>
    </row>
    <row r="33" spans="1:17">
      <c r="A33" s="1">
        <v>2050</v>
      </c>
      <c r="B33" t="s">
        <v>45</v>
      </c>
      <c r="C33" t="s">
        <v>44</v>
      </c>
      <c r="D33" s="3">
        <v>586.94200000000001</v>
      </c>
      <c r="E33" s="5">
        <v>767.24800000000005</v>
      </c>
      <c r="F33" s="5">
        <v>1410.2429999999999</v>
      </c>
      <c r="G33" s="7">
        <v>313.80500000000001</v>
      </c>
      <c r="H33" s="7">
        <v>5708.777</v>
      </c>
      <c r="I33" s="9">
        <v>161.291</v>
      </c>
      <c r="J33" s="9">
        <v>772.64400000000001</v>
      </c>
      <c r="L33">
        <f t="shared" si="0"/>
        <v>586942</v>
      </c>
      <c r="M33">
        <v>0</v>
      </c>
      <c r="N33">
        <f t="shared" si="1"/>
        <v>767248</v>
      </c>
      <c r="O33">
        <f t="shared" si="2"/>
        <v>475096</v>
      </c>
      <c r="P33">
        <f t="shared" si="3"/>
        <v>1410243</v>
      </c>
      <c r="Q33">
        <f t="shared" si="4"/>
        <v>6481421</v>
      </c>
    </row>
    <row r="34" spans="1:17">
      <c r="A34" s="1">
        <v>2100</v>
      </c>
      <c r="B34" t="s">
        <v>13</v>
      </c>
      <c r="C34" t="s">
        <v>14</v>
      </c>
      <c r="D34" s="3">
        <v>9.6989999999999998</v>
      </c>
      <c r="E34" s="5">
        <v>11.669</v>
      </c>
      <c r="F34" s="5">
        <v>23.338999999999999</v>
      </c>
      <c r="G34" s="7">
        <v>1.1479999999999999</v>
      </c>
      <c r="H34" s="7">
        <v>67.444000000000003</v>
      </c>
      <c r="I34" s="9">
        <v>0</v>
      </c>
      <c r="J34" s="9">
        <v>0</v>
      </c>
      <c r="L34">
        <f t="shared" si="0"/>
        <v>9699</v>
      </c>
      <c r="M34">
        <v>0</v>
      </c>
      <c r="N34">
        <f t="shared" si="1"/>
        <v>11669</v>
      </c>
      <c r="O34">
        <f t="shared" si="2"/>
        <v>1148</v>
      </c>
      <c r="P34">
        <f t="shared" si="3"/>
        <v>23339</v>
      </c>
      <c r="Q34">
        <f t="shared" si="4"/>
        <v>67444</v>
      </c>
    </row>
    <row r="35" spans="1:17">
      <c r="A35" s="1">
        <v>2100</v>
      </c>
      <c r="B35" t="s">
        <v>15</v>
      </c>
      <c r="C35" t="s">
        <v>16</v>
      </c>
      <c r="D35" s="3">
        <v>454.20299999999997</v>
      </c>
      <c r="E35" s="5">
        <v>659.88800000000003</v>
      </c>
      <c r="F35" s="5">
        <v>1144.838</v>
      </c>
      <c r="G35" s="7">
        <v>0.54700000000000004</v>
      </c>
      <c r="H35" s="7">
        <v>2971.5720000000001</v>
      </c>
      <c r="I35" s="9">
        <v>0</v>
      </c>
      <c r="J35" s="9">
        <v>0</v>
      </c>
      <c r="L35">
        <f t="shared" si="0"/>
        <v>454203</v>
      </c>
      <c r="M35">
        <v>0</v>
      </c>
      <c r="N35">
        <f t="shared" si="1"/>
        <v>659888</v>
      </c>
      <c r="O35">
        <f t="shared" si="2"/>
        <v>547</v>
      </c>
      <c r="P35">
        <f t="shared" si="3"/>
        <v>1144838</v>
      </c>
      <c r="Q35">
        <f t="shared" si="4"/>
        <v>2971572</v>
      </c>
    </row>
    <row r="36" spans="1:17">
      <c r="A36" s="1">
        <v>2100</v>
      </c>
      <c r="B36" t="s">
        <v>17</v>
      </c>
      <c r="C36" t="s">
        <v>18</v>
      </c>
      <c r="D36" s="3">
        <v>148.387</v>
      </c>
      <c r="E36" s="5">
        <v>269.30700000000002</v>
      </c>
      <c r="F36" s="5">
        <v>480.89</v>
      </c>
      <c r="G36" s="7">
        <v>11.207000000000001</v>
      </c>
      <c r="H36" s="7">
        <v>1534.616</v>
      </c>
      <c r="I36" s="9">
        <v>0</v>
      </c>
      <c r="J36" s="9">
        <v>0</v>
      </c>
      <c r="L36">
        <f t="shared" si="0"/>
        <v>148387</v>
      </c>
      <c r="M36">
        <v>0</v>
      </c>
      <c r="N36">
        <f t="shared" si="1"/>
        <v>269307</v>
      </c>
      <c r="O36">
        <f t="shared" si="2"/>
        <v>11207</v>
      </c>
      <c r="P36">
        <f t="shared" si="3"/>
        <v>480890</v>
      </c>
      <c r="Q36">
        <f t="shared" si="4"/>
        <v>1534616</v>
      </c>
    </row>
    <row r="37" spans="1:17">
      <c r="A37" s="1">
        <v>2100</v>
      </c>
      <c r="B37" t="s">
        <v>19</v>
      </c>
      <c r="C37" t="s">
        <v>20</v>
      </c>
      <c r="D37" s="3">
        <v>93.596999999999994</v>
      </c>
      <c r="E37" s="5">
        <v>68.037999999999997</v>
      </c>
      <c r="F37" s="5">
        <v>118.145</v>
      </c>
      <c r="G37" s="7">
        <v>0.39900000000000002</v>
      </c>
      <c r="H37" s="7">
        <v>221.18600000000001</v>
      </c>
      <c r="I37" s="9">
        <v>0</v>
      </c>
      <c r="J37" s="9">
        <v>0</v>
      </c>
      <c r="L37">
        <f t="shared" si="0"/>
        <v>93597</v>
      </c>
      <c r="M37">
        <v>0</v>
      </c>
      <c r="N37">
        <f t="shared" si="1"/>
        <v>68038</v>
      </c>
      <c r="O37">
        <f t="shared" si="2"/>
        <v>399</v>
      </c>
      <c r="P37">
        <f t="shared" si="3"/>
        <v>118145</v>
      </c>
      <c r="Q37">
        <f t="shared" si="4"/>
        <v>221186</v>
      </c>
    </row>
    <row r="38" spans="1:17">
      <c r="A38" s="1">
        <v>2100</v>
      </c>
      <c r="B38" t="s">
        <v>21</v>
      </c>
      <c r="C38" t="s">
        <v>22</v>
      </c>
      <c r="D38" s="3">
        <v>330.87900000000002</v>
      </c>
      <c r="E38" s="5">
        <v>302.88299999999998</v>
      </c>
      <c r="F38" s="5">
        <v>458.32</v>
      </c>
      <c r="G38" s="7">
        <v>3.6669999999999998</v>
      </c>
      <c r="H38" s="7">
        <v>1123.2349999999999</v>
      </c>
      <c r="I38" s="9">
        <v>0</v>
      </c>
      <c r="J38" s="9">
        <v>0</v>
      </c>
      <c r="L38">
        <f t="shared" si="0"/>
        <v>330879</v>
      </c>
      <c r="M38">
        <v>0</v>
      </c>
      <c r="N38">
        <f t="shared" si="1"/>
        <v>302883</v>
      </c>
      <c r="O38">
        <f t="shared" si="2"/>
        <v>3667</v>
      </c>
      <c r="P38">
        <f t="shared" si="3"/>
        <v>458320</v>
      </c>
      <c r="Q38">
        <f t="shared" si="4"/>
        <v>1123235</v>
      </c>
    </row>
    <row r="39" spans="1:17">
      <c r="A39" s="1">
        <v>2100</v>
      </c>
      <c r="B39" t="s">
        <v>23</v>
      </c>
      <c r="C39" t="s">
        <v>24</v>
      </c>
      <c r="D39" s="3">
        <v>89.489000000000004</v>
      </c>
      <c r="E39" s="5">
        <v>126.459</v>
      </c>
      <c r="F39" s="5">
        <v>256.64800000000002</v>
      </c>
      <c r="G39" s="7">
        <v>1.337</v>
      </c>
      <c r="H39" s="7">
        <v>693.78399999999999</v>
      </c>
      <c r="I39" s="9">
        <v>0</v>
      </c>
      <c r="J39" s="9">
        <v>0</v>
      </c>
      <c r="L39">
        <f t="shared" si="0"/>
        <v>89489</v>
      </c>
      <c r="M39">
        <v>0</v>
      </c>
      <c r="N39">
        <f t="shared" si="1"/>
        <v>126459</v>
      </c>
      <c r="O39">
        <f t="shared" si="2"/>
        <v>1337</v>
      </c>
      <c r="P39">
        <f t="shared" si="3"/>
        <v>256648.00000000003</v>
      </c>
      <c r="Q39">
        <f t="shared" si="4"/>
        <v>693784</v>
      </c>
    </row>
    <row r="40" spans="1:17">
      <c r="A40" s="1">
        <v>2100</v>
      </c>
      <c r="B40" t="s">
        <v>25</v>
      </c>
      <c r="C40" t="s">
        <v>26</v>
      </c>
      <c r="D40" s="3">
        <v>131.77500000000001</v>
      </c>
      <c r="E40" s="5">
        <v>208.041</v>
      </c>
      <c r="F40" s="5">
        <v>401.53800000000001</v>
      </c>
      <c r="G40" s="7">
        <v>4.9240000000000004</v>
      </c>
      <c r="H40" s="7">
        <v>1241.1780000000001</v>
      </c>
      <c r="I40" s="9">
        <v>0</v>
      </c>
      <c r="J40" s="9">
        <v>0</v>
      </c>
      <c r="L40">
        <f t="shared" si="0"/>
        <v>131775</v>
      </c>
      <c r="M40">
        <v>0</v>
      </c>
      <c r="N40">
        <f t="shared" si="1"/>
        <v>208041</v>
      </c>
      <c r="O40">
        <f t="shared" si="2"/>
        <v>4924</v>
      </c>
      <c r="P40">
        <f t="shared" si="3"/>
        <v>401538</v>
      </c>
      <c r="Q40">
        <f t="shared" si="4"/>
        <v>1241178</v>
      </c>
    </row>
    <row r="41" spans="1:17">
      <c r="A41" s="1">
        <v>2100</v>
      </c>
      <c r="B41" t="s">
        <v>27</v>
      </c>
      <c r="C41" t="s">
        <v>28</v>
      </c>
      <c r="D41" s="3">
        <v>210.56800000000001</v>
      </c>
      <c r="E41" s="5">
        <v>113.276</v>
      </c>
      <c r="F41" s="5">
        <v>168.90199999999999</v>
      </c>
      <c r="G41" s="7">
        <v>1.5509999999999999</v>
      </c>
      <c r="H41" s="7">
        <v>342.649</v>
      </c>
      <c r="I41" s="9">
        <v>0</v>
      </c>
      <c r="J41" s="9">
        <v>0</v>
      </c>
      <c r="L41">
        <f t="shared" si="0"/>
        <v>210568</v>
      </c>
      <c r="M41">
        <v>0</v>
      </c>
      <c r="N41">
        <f t="shared" si="1"/>
        <v>113276</v>
      </c>
      <c r="O41">
        <f t="shared" si="2"/>
        <v>1551</v>
      </c>
      <c r="P41">
        <f t="shared" si="3"/>
        <v>168902</v>
      </c>
      <c r="Q41">
        <f t="shared" si="4"/>
        <v>342649</v>
      </c>
    </row>
    <row r="42" spans="1:17">
      <c r="A42" s="1">
        <v>2100</v>
      </c>
      <c r="B42" t="s">
        <v>29</v>
      </c>
      <c r="C42" t="s">
        <v>30</v>
      </c>
      <c r="D42" s="3">
        <v>82.918999999999997</v>
      </c>
      <c r="E42" s="5">
        <v>72.995999999999995</v>
      </c>
      <c r="F42" s="5">
        <v>127.23099999999999</v>
      </c>
      <c r="G42" s="7">
        <v>0.35899999999999999</v>
      </c>
      <c r="H42" s="7">
        <v>292.637</v>
      </c>
      <c r="I42" s="9">
        <v>0</v>
      </c>
      <c r="J42" s="9">
        <v>0</v>
      </c>
      <c r="L42">
        <f t="shared" si="0"/>
        <v>82919</v>
      </c>
      <c r="M42">
        <v>0</v>
      </c>
      <c r="N42">
        <f t="shared" si="1"/>
        <v>72996</v>
      </c>
      <c r="O42">
        <f t="shared" si="2"/>
        <v>359</v>
      </c>
      <c r="P42">
        <f t="shared" si="3"/>
        <v>127231</v>
      </c>
      <c r="Q42">
        <f t="shared" si="4"/>
        <v>292637</v>
      </c>
    </row>
    <row r="43" spans="1:17">
      <c r="A43" s="1">
        <v>2100</v>
      </c>
      <c r="B43" t="s">
        <v>31</v>
      </c>
      <c r="C43" t="s">
        <v>32</v>
      </c>
      <c r="D43" s="3">
        <v>19.146999999999998</v>
      </c>
      <c r="E43" s="5">
        <v>18.41</v>
      </c>
      <c r="F43" s="5">
        <v>43.064</v>
      </c>
      <c r="G43" s="7">
        <v>1.1459999999999999</v>
      </c>
      <c r="H43" s="7">
        <v>116.82899999999999</v>
      </c>
      <c r="I43" s="9">
        <v>0</v>
      </c>
      <c r="J43" s="9">
        <v>0</v>
      </c>
      <c r="L43">
        <f t="shared" si="0"/>
        <v>19147</v>
      </c>
      <c r="M43">
        <v>0</v>
      </c>
      <c r="N43">
        <f t="shared" si="1"/>
        <v>18410</v>
      </c>
      <c r="O43">
        <f t="shared" si="2"/>
        <v>1146</v>
      </c>
      <c r="P43">
        <f t="shared" si="3"/>
        <v>43064</v>
      </c>
      <c r="Q43">
        <f t="shared" si="4"/>
        <v>116829</v>
      </c>
    </row>
    <row r="44" spans="1:17">
      <c r="A44" s="1">
        <v>2100</v>
      </c>
      <c r="B44" t="s">
        <v>33</v>
      </c>
      <c r="C44" t="s">
        <v>34</v>
      </c>
      <c r="D44" s="3">
        <v>19.751000000000001</v>
      </c>
      <c r="E44" s="5">
        <v>33.659999999999997</v>
      </c>
      <c r="F44" s="5">
        <v>52.947000000000003</v>
      </c>
      <c r="G44" s="7">
        <v>50.146999999999998</v>
      </c>
      <c r="H44" s="7">
        <v>1230.473</v>
      </c>
      <c r="I44" s="9">
        <v>0</v>
      </c>
      <c r="J44" s="9">
        <v>0</v>
      </c>
      <c r="L44">
        <f t="shared" si="0"/>
        <v>19751</v>
      </c>
      <c r="M44">
        <v>0</v>
      </c>
      <c r="N44">
        <f t="shared" si="1"/>
        <v>33660</v>
      </c>
      <c r="O44">
        <f t="shared" si="2"/>
        <v>50147</v>
      </c>
      <c r="P44">
        <f t="shared" si="3"/>
        <v>52947</v>
      </c>
      <c r="Q44">
        <f t="shared" si="4"/>
        <v>1230473</v>
      </c>
    </row>
    <row r="45" spans="1:17">
      <c r="A45" s="1">
        <v>2100</v>
      </c>
      <c r="B45" t="s">
        <v>35</v>
      </c>
      <c r="C45" t="s">
        <v>36</v>
      </c>
      <c r="D45" s="3">
        <v>462.33300000000003</v>
      </c>
      <c r="E45" s="5">
        <v>842.26700000000005</v>
      </c>
      <c r="F45" s="5">
        <v>1454.9390000000001</v>
      </c>
      <c r="G45" s="7">
        <v>358.74700000000001</v>
      </c>
      <c r="H45" s="7">
        <v>9662.6389999999992</v>
      </c>
      <c r="I45" s="9">
        <v>0</v>
      </c>
      <c r="J45" s="9">
        <v>0</v>
      </c>
      <c r="L45">
        <f t="shared" si="0"/>
        <v>462333</v>
      </c>
      <c r="M45">
        <v>0</v>
      </c>
      <c r="N45">
        <f t="shared" si="1"/>
        <v>842267</v>
      </c>
      <c r="O45">
        <f t="shared" si="2"/>
        <v>358747</v>
      </c>
      <c r="P45">
        <f t="shared" si="3"/>
        <v>1454939</v>
      </c>
      <c r="Q45">
        <f t="shared" si="4"/>
        <v>9662639</v>
      </c>
    </row>
    <row r="46" spans="1:17">
      <c r="A46" s="1">
        <v>2100</v>
      </c>
      <c r="B46" t="s">
        <v>37</v>
      </c>
      <c r="C46" t="s">
        <v>38</v>
      </c>
      <c r="D46" s="3">
        <v>63.71</v>
      </c>
      <c r="E46" s="5">
        <v>134.32</v>
      </c>
      <c r="F46" s="5">
        <v>208.803</v>
      </c>
      <c r="G46" s="7">
        <v>105.43300000000001</v>
      </c>
      <c r="H46" s="7">
        <v>1317.2619999999999</v>
      </c>
      <c r="I46" s="9">
        <v>0</v>
      </c>
      <c r="J46" s="9">
        <v>0</v>
      </c>
      <c r="L46">
        <f t="shared" si="0"/>
        <v>63710</v>
      </c>
      <c r="M46">
        <v>0</v>
      </c>
      <c r="N46">
        <f t="shared" si="1"/>
        <v>134320</v>
      </c>
      <c r="O46">
        <f t="shared" si="2"/>
        <v>105433</v>
      </c>
      <c r="P46">
        <f t="shared" si="3"/>
        <v>208803</v>
      </c>
      <c r="Q46">
        <f t="shared" si="4"/>
        <v>1317262</v>
      </c>
    </row>
    <row r="47" spans="1:17">
      <c r="A47" s="1">
        <v>2100</v>
      </c>
      <c r="B47" t="s">
        <v>39</v>
      </c>
      <c r="C47" t="s">
        <v>40</v>
      </c>
      <c r="D47" s="3">
        <v>31.89</v>
      </c>
      <c r="E47" s="5">
        <v>54.716999999999999</v>
      </c>
      <c r="F47" s="5">
        <v>96.161000000000001</v>
      </c>
      <c r="G47" s="7">
        <v>0.46600000000000003</v>
      </c>
      <c r="H47" s="7">
        <v>219.22900000000001</v>
      </c>
      <c r="I47" s="9">
        <v>0</v>
      </c>
      <c r="J47" s="9">
        <v>0</v>
      </c>
      <c r="L47">
        <f t="shared" si="0"/>
        <v>31890</v>
      </c>
      <c r="M47">
        <v>0</v>
      </c>
      <c r="N47">
        <f t="shared" si="1"/>
        <v>54717</v>
      </c>
      <c r="O47">
        <f t="shared" si="2"/>
        <v>466</v>
      </c>
      <c r="P47">
        <f t="shared" si="3"/>
        <v>96161</v>
      </c>
      <c r="Q47">
        <f t="shared" si="4"/>
        <v>219229</v>
      </c>
    </row>
    <row r="48" spans="1:17">
      <c r="A48" s="1">
        <v>2100</v>
      </c>
      <c r="B48" t="s">
        <v>41</v>
      </c>
      <c r="C48" t="s">
        <v>42</v>
      </c>
      <c r="D48" s="3">
        <v>3.665</v>
      </c>
      <c r="E48" s="5">
        <v>2.9079999999999999</v>
      </c>
      <c r="F48" s="5">
        <v>5.79</v>
      </c>
      <c r="G48" s="7">
        <v>4.2999999999999997E-2</v>
      </c>
      <c r="H48" s="7">
        <v>10.491</v>
      </c>
      <c r="I48" s="9">
        <v>0</v>
      </c>
      <c r="J48" s="9">
        <v>0</v>
      </c>
      <c r="L48">
        <f t="shared" si="0"/>
        <v>3665</v>
      </c>
      <c r="M48">
        <v>0</v>
      </c>
      <c r="N48">
        <f t="shared" si="1"/>
        <v>2908</v>
      </c>
      <c r="O48">
        <f t="shared" si="2"/>
        <v>43</v>
      </c>
      <c r="P48">
        <f t="shared" si="3"/>
        <v>5790</v>
      </c>
      <c r="Q48">
        <f t="shared" si="4"/>
        <v>10491</v>
      </c>
    </row>
    <row r="49" spans="1:17">
      <c r="A49" s="1">
        <v>2100</v>
      </c>
      <c r="B49" t="s">
        <v>45</v>
      </c>
      <c r="C49" t="s">
        <v>44</v>
      </c>
      <c r="D49" s="3">
        <v>2152.0120000000002</v>
      </c>
      <c r="E49" s="5">
        <v>2918.8389999999999</v>
      </c>
      <c r="F49" s="5">
        <v>5041.5550000000003</v>
      </c>
      <c r="G49" s="7">
        <v>541.12099999999998</v>
      </c>
      <c r="H49" s="7">
        <v>21045.223999999998</v>
      </c>
      <c r="I49" s="9">
        <v>0</v>
      </c>
      <c r="J49" s="9">
        <v>0</v>
      </c>
      <c r="L49">
        <f t="shared" si="0"/>
        <v>2152012</v>
      </c>
      <c r="M49">
        <v>0</v>
      </c>
      <c r="N49">
        <f t="shared" si="1"/>
        <v>2918839</v>
      </c>
      <c r="O49">
        <f t="shared" si="2"/>
        <v>541121</v>
      </c>
      <c r="P49">
        <f t="shared" si="3"/>
        <v>5041555</v>
      </c>
      <c r="Q49">
        <f t="shared" si="4"/>
        <v>21045224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wbregioncorrections-match2</vt:lpstr>
      <vt:lpstr>Merge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Rising</cp:lastModifiedBy>
  <dcterms:created xsi:type="dcterms:W3CDTF">2026-04-28T13:58:09Z</dcterms:created>
  <dcterms:modified xsi:type="dcterms:W3CDTF">2026-04-28T13:58:34Z</dcterms:modified>
</cp:coreProperties>
</file>